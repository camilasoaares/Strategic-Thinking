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Lmcguinness\Desktop\"/>
    </mc:Choice>
  </mc:AlternateContent>
  <xr:revisionPtr revIDLastSave="0" documentId="8_{4689ABB8-D6E7-43B4-B452-4428732FD59A}" xr6:coauthVersionLast="47" xr6:coauthVersionMax="47" xr10:uidLastSave="{00000000-0000-0000-0000-000000000000}"/>
  <bookViews>
    <workbookView xWindow="-110" yWindow="-110" windowWidth="19420" windowHeight="10300" tabRatio="827" xr2:uid="{56B19298-CA4F-4076-AF31-904EEF4BF0A3}"/>
  </bookViews>
  <sheets>
    <sheet name="Summary" sheetId="1" r:id="rId1"/>
    <sheet name="The Mortgage Measures Framework" sheetId="2" r:id="rId2"/>
    <sheet name="New Lending Overview " sheetId="3" r:id="rId3"/>
    <sheet name="FTB Lending" sheetId="6" r:id="rId4"/>
    <sheet name="FTB LTV and LTI Distributions" sheetId="7" r:id="rId5"/>
    <sheet name="SSB Lending" sheetId="8" r:id="rId6"/>
    <sheet name="SSB LTV and LTI Distribution" sheetId="9" r:id="rId7"/>
    <sheet name="BTL Lending" sheetId="12" r:id="rId8"/>
    <sheet name="LTI Allowances" sheetId="14" r:id="rId9"/>
    <sheet name="Trend over time in LTV and LTI" sheetId="11" r:id="rId10"/>
    <sheet name="Allocation of Allowances Chart " sheetId="18" r:id="rId11"/>
  </sheets>
  <definedNames>
    <definedName name="_xlnm.Print_Area" localSheetId="0">Summary!$B:$P</definedName>
    <definedName name="Z_41816220_B35C_45A9_9EE2_EC676D322318_.wvu.PrintArea" localSheetId="0" hidden="1">Summary!$B:$P</definedName>
  </definedNames>
  <calcPr calcId="191029"/>
  <customWorkbookViews>
    <customWorkbookView name="Kinghan, Christina - Personal View" guid="{41816220-B35C-45A9-9EE2-EC676D322318}" mergeInterval="0" personalView="1" maximized="1" xWindow="-9" yWindow="-9" windowWidth="1938" windowHeight="104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7" l="1"/>
</calcChain>
</file>

<file path=xl/sharedStrings.xml><?xml version="1.0" encoding="utf-8"?>
<sst xmlns="http://schemas.openxmlformats.org/spreadsheetml/2006/main" count="351" uniqueCount="210">
  <si>
    <t xml:space="preserve">Table 1: Macroprudential Regulations for Mortgage Lending </t>
  </si>
  <si>
    <t>Allowances</t>
  </si>
  <si>
    <t xml:space="preserve">Exemptions </t>
  </si>
  <si>
    <t xml:space="preserve">From LTV Limit: </t>
  </si>
  <si>
    <t>Borrowers in negative equity</t>
  </si>
  <si>
    <t xml:space="preserve">From LTI Limit: </t>
  </si>
  <si>
    <t xml:space="preserve">From both limits: </t>
  </si>
  <si>
    <t>Total Lending</t>
  </si>
  <si>
    <t xml:space="preserve">In-Scope of Regulations </t>
  </si>
  <si>
    <t xml:space="preserve">of which: </t>
  </si>
  <si>
    <t xml:space="preserve">PDH Lending </t>
  </si>
  <si>
    <t xml:space="preserve">FTB Lending </t>
  </si>
  <si>
    <t>of which FTB over LTV Limit</t>
  </si>
  <si>
    <t xml:space="preserve">SSB Lending </t>
  </si>
  <si>
    <t>of which SSB over the LTV Limit</t>
  </si>
  <si>
    <t xml:space="preserve">BTL Lending </t>
  </si>
  <si>
    <t xml:space="preserve">BTL over the LTV Limit </t>
  </si>
  <si>
    <t xml:space="preserve">Exempt from Regulations </t>
  </si>
  <si>
    <t xml:space="preserve">Negative Equity </t>
  </si>
  <si>
    <t xml:space="preserve">Other Exemption </t>
  </si>
  <si>
    <t>Loan Size (€)</t>
  </si>
  <si>
    <t>Property Value (€)</t>
  </si>
  <si>
    <t>Loan-to-Value (%)</t>
  </si>
  <si>
    <t>Income (€)</t>
  </si>
  <si>
    <t>Loan-to-Income</t>
  </si>
  <si>
    <t>Loan Term (Years)</t>
  </si>
  <si>
    <t>Property Size (sq.ft)</t>
  </si>
  <si>
    <t>Interest Rate (%)</t>
  </si>
  <si>
    <t>Fixed (%)</t>
  </si>
  <si>
    <t xml:space="preserve">SVR (%) </t>
  </si>
  <si>
    <t xml:space="preserve">Other (%) </t>
  </si>
  <si>
    <t xml:space="preserve">Borrower Characteristics </t>
  </si>
  <si>
    <t xml:space="preserve">Loan Characteristics </t>
  </si>
  <si>
    <t>Borrower Age (Years)</t>
  </si>
  <si>
    <t xml:space="preserve">Joint Applicant (%) </t>
  </si>
  <si>
    <t xml:space="preserve">Salaried Employee (%) </t>
  </si>
  <si>
    <t xml:space="preserve">Region, of which: </t>
  </si>
  <si>
    <t xml:space="preserve">Interest Rate Type, of which: </t>
  </si>
  <si>
    <t>Dublin (%)</t>
  </si>
  <si>
    <t>Leinster (%)</t>
  </si>
  <si>
    <t>Munster (%)</t>
  </si>
  <si>
    <t>Ulster (%)</t>
  </si>
  <si>
    <t xml:space="preserve">Broker (%) </t>
  </si>
  <si>
    <t xml:space="preserve">Without </t>
  </si>
  <si>
    <t xml:space="preserve">With </t>
  </si>
  <si>
    <t xml:space="preserve">Dublin (%) </t>
  </si>
  <si>
    <t xml:space="preserve">First Time Buyers </t>
  </si>
  <si>
    <t xml:space="preserve">Second and Subsequent Buyers </t>
  </si>
  <si>
    <t>&gt; 0.75 - 1</t>
  </si>
  <si>
    <t>&gt; 1- 1.25</t>
  </si>
  <si>
    <t>&gt;1.25 -1.5</t>
  </si>
  <si>
    <t>&gt;1.5-1.75</t>
  </si>
  <si>
    <t>&gt;1.75-2</t>
  </si>
  <si>
    <t>&gt; 2- 2.25</t>
  </si>
  <si>
    <t>&gt;2.25 -2.5</t>
  </si>
  <si>
    <t>&gt;2.5-2.75</t>
  </si>
  <si>
    <t>&gt;2.75-3</t>
  </si>
  <si>
    <t>&gt; 3- 3.25</t>
  </si>
  <si>
    <t>&gt;3.25 -3.5</t>
  </si>
  <si>
    <t>&gt;3.5-3.75</t>
  </si>
  <si>
    <t>&gt;3.75-4</t>
  </si>
  <si>
    <t>&gt; 4- 4.25</t>
  </si>
  <si>
    <t>LTI FTB P10</t>
  </si>
  <si>
    <t>LTI FTB P25</t>
  </si>
  <si>
    <t>LTI FTB Median</t>
  </si>
  <si>
    <t>LTI FTB P75</t>
  </si>
  <si>
    <t xml:space="preserve">LTI FTB P90 </t>
  </si>
  <si>
    <t>LTV FTB P10</t>
  </si>
  <si>
    <t>LTV FTB P25</t>
  </si>
  <si>
    <t>LTV FTB Median</t>
  </si>
  <si>
    <t>LTV FTB P75</t>
  </si>
  <si>
    <t xml:space="preserve">LTV FTB P90 </t>
  </si>
  <si>
    <t>LTI SSB P10</t>
  </si>
  <si>
    <t>LTI SSB P25</t>
  </si>
  <si>
    <t>LTI SSB Median</t>
  </si>
  <si>
    <t>LTI SSB P75</t>
  </si>
  <si>
    <t xml:space="preserve">LTI SSB P90 </t>
  </si>
  <si>
    <t>LTV SSB P10</t>
  </si>
  <si>
    <t>LTV SSB P25</t>
  </si>
  <si>
    <t>LTV SSB Median</t>
  </si>
  <si>
    <t>LTV SSB P75</t>
  </si>
  <si>
    <t xml:space="preserve">LTV SSB P90 </t>
  </si>
  <si>
    <t xml:space="preserve">FTB LTI over Time </t>
  </si>
  <si>
    <t xml:space="preserve">FTB LTV over Time </t>
  </si>
  <si>
    <t xml:space="preserve">SSB LTI over Time </t>
  </si>
  <si>
    <t xml:space="preserve">SSB LTV over Time </t>
  </si>
  <si>
    <t>17-18</t>
  </si>
  <si>
    <t>19-20</t>
  </si>
  <si>
    <t>21-22</t>
  </si>
  <si>
    <t>23-24</t>
  </si>
  <si>
    <t>25-26</t>
  </si>
  <si>
    <t>27-28</t>
  </si>
  <si>
    <t>29-30</t>
  </si>
  <si>
    <t>31-32</t>
  </si>
  <si>
    <t>33-34</t>
  </si>
  <si>
    <t>35-36</t>
  </si>
  <si>
    <t>37-38</t>
  </si>
  <si>
    <t>39-40</t>
  </si>
  <si>
    <t>41-42</t>
  </si>
  <si>
    <t>43-44</t>
  </si>
  <si>
    <t>45-46</t>
  </si>
  <si>
    <t>47-48</t>
  </si>
  <si>
    <t>49-50</t>
  </si>
  <si>
    <t>51-52</t>
  </si>
  <si>
    <t>53-54</t>
  </si>
  <si>
    <t>55-56</t>
  </si>
  <si>
    <t>57-58</t>
  </si>
  <si>
    <t>59-60</t>
  </si>
  <si>
    <t>61-62</t>
  </si>
  <si>
    <t>63-64</t>
  </si>
  <si>
    <t>65-66</t>
  </si>
  <si>
    <t>67-68</t>
  </si>
  <si>
    <t>71-72</t>
  </si>
  <si>
    <t>73-74</t>
  </si>
  <si>
    <t>75-76</t>
  </si>
  <si>
    <t>77-78</t>
  </si>
  <si>
    <t>79-80</t>
  </si>
  <si>
    <t>LTV</t>
  </si>
  <si>
    <t>81-82</t>
  </si>
  <si>
    <t>83-84</t>
  </si>
  <si>
    <t>85-86</t>
  </si>
  <si>
    <t>87-88</t>
  </si>
  <si>
    <t>of which FTB over LTI Limit*</t>
  </si>
  <si>
    <t>of which SSB over the LTI Limit *</t>
  </si>
  <si>
    <t xml:space="preserve">Restructuring of mortgages in arrears </t>
  </si>
  <si>
    <t>Refinance mortgages (with no increase in capital)</t>
  </si>
  <si>
    <t xml:space="preserve">Refinance </t>
  </si>
  <si>
    <t xml:space="preserve">Connacht (%) </t>
  </si>
  <si>
    <t>Where multiple loans are originated on the same date to the same borrower(s), we count these as one single 'housing loan' on this date. The individual amounts advanced are aggregated together.</t>
  </si>
  <si>
    <t xml:space="preserve">&gt;90 </t>
  </si>
  <si>
    <t>15-16</t>
  </si>
  <si>
    <t xml:space="preserve">69-70 </t>
  </si>
  <si>
    <t>&gt;4.25 -4.5</t>
  </si>
  <si>
    <t>0.25-0.5</t>
  </si>
  <si>
    <t>&gt;0.5-0.75</t>
  </si>
  <si>
    <t>&gt;4.5</t>
  </si>
  <si>
    <t>BTL borrowers and Lifetime Mortgages</t>
  </si>
  <si>
    <t xml:space="preserve">Where multiple loans are originated on the same date to the same borrower(s), we count these as one single 'housing loan' on this date. The individual amounts advanced are aggregated together and a weighted interest rate applied. For all loans, LTV and LTI are reported at facility level . </t>
  </si>
  <si>
    <t>89-90</t>
  </si>
  <si>
    <t xml:space="preserve">FTB Allowance Lending </t>
  </si>
  <si>
    <t xml:space="preserve">SSB Allowance Lending </t>
  </si>
  <si>
    <t xml:space="preserve">LTV limit </t>
  </si>
  <si>
    <t xml:space="preserve">LTI Limit </t>
  </si>
  <si>
    <t xml:space="preserve">LTV Limit </t>
  </si>
  <si>
    <t xml:space="preserve">15% of total FTB lending allowed above the LTV/LTI limit </t>
  </si>
  <si>
    <t xml:space="preserve">3.5 times income </t>
  </si>
  <si>
    <t>4 times income</t>
  </si>
  <si>
    <t xml:space="preserve">15% of total SSB lending allowed above the LTV/LTI limit </t>
  </si>
  <si>
    <t>First Time Buyers (FTB)</t>
  </si>
  <si>
    <t>Second and Subsequent Buyers (SSB)</t>
  </si>
  <si>
    <t>Buy-to-Let (BTL)</t>
  </si>
  <si>
    <t xml:space="preserve">10% of total BTL lending allowed above the LTV/LTI limit </t>
  </si>
  <si>
    <t>Click here for information on the mortgage measures framework</t>
  </si>
  <si>
    <t xml:space="preserve">Sample used is all new property purchase/self-build loans in-scope of the mortgage measures. </t>
  </si>
  <si>
    <t>Note: Authors Calculations using Central Bank of Ireland Data.  Sample used is all new in-scope property purchase/self-build loans.</t>
  </si>
  <si>
    <t xml:space="preserve">Sample used is all in-scope new property purchase/self-build PDH loans with and without an LTI allowance </t>
  </si>
  <si>
    <t xml:space="preserve"> Sample used is new in-scope property purchase/self-build loans only </t>
  </si>
  <si>
    <t>Note: LTV&lt;15 removed. Share of number of loans.</t>
  </si>
  <si>
    <t>Note: loans with LTI&lt;0.25 are removed. Share of number of loans</t>
  </si>
  <si>
    <t>Note: LTV&lt;15 removed. Share of number of loans</t>
  </si>
  <si>
    <t>.</t>
  </si>
  <si>
    <t>Some marginal differences in this series from previously published data may arise due to enhanced processing of retrospective data from 2006-2014.</t>
  </si>
  <si>
    <t>Where multiple loans are originated on the same date to the same borrower(s), we count these as one single loan on this date. The balances of such loans are aggregated and a weighted interest rate applied. For all loans, LTV and LTI are reported at facility level.</t>
  </si>
  <si>
    <t>LTI</t>
  </si>
  <si>
    <t>Bridging loans with a loan term of 18 months or less</t>
  </si>
  <si>
    <t>Note: Data from 2006 - 2014 covers all mortgage agreements originated by retail banks since 2006 except split mortgages. Data from 2015-2025H1 includes in-scope property purchase/self-build loans and topup/equity release loans. Data Source: Loan-Level Data (LLD) from 2006-2014 and Monitoring Templates Data (MT) from 2015-2025</t>
  </si>
  <si>
    <t>Table 2: Overview of New Mortgage Lending, 1st Jan -31st Dec 2025</t>
  </si>
  <si>
    <t>The average interest rate for both FTB and SSB reduced from 4 per cent in  2024 to 3.6 per cent in 2025. Average incomes, loan sizes and property values increased for both FTB and SSB borrowers.</t>
  </si>
  <si>
    <t>Shares of SSB loans with an LTV between 89-90 per cent increased from 17.1 per cent in 2024 to 18.7 per cent in 2025.</t>
  </si>
  <si>
    <t xml:space="preserve">The average LTI for FTBs with an allowance was 4.4 in 2025, compared to 3.4 for those without an allowance. For SSBs with an LTI allowance, the average LTI was 4 compared to 2.6 for those without an allowance.														</t>
  </si>
  <si>
    <t>In 2025 the share of FTB lending, by value, with an allowance was 10 per cent. The corresponding figure for SSB lending was also 10 per cent. Essentially all allowance lending  was related to the LTI limits.</t>
  </si>
  <si>
    <t>Total Value 2025 (€M)</t>
  </si>
  <si>
    <t xml:space="preserve">No. of Loans 2025 </t>
  </si>
  <si>
    <t xml:space="preserve">% Value 2025 </t>
  </si>
  <si>
    <t>Total Value 2024  (€M)</t>
  </si>
  <si>
    <t xml:space="preserve">% Value 2024 </t>
  </si>
  <si>
    <t>In-Scope Lending excludes negative equity loans which are in-scope for LTI purposes only. These are included in calcuation of SSB over the LTI limit</t>
  </si>
  <si>
    <t>Table 3: Mean Loan Characteristics for FTBs In-Scope 2024 v 2025</t>
  </si>
  <si>
    <t>Note: This overview represents lending that took place in 2025. As such allowance lending includes lending originated in H1 2024 but approved in (H2) 2025 and which under the carry-over system allowed for in the measures is allocated to 2024 for compliance purposes. The framework review amended the definition of FTB. This may result in differences in the categorisation of certain loan types. The Central Bank continues to work to ensure the correct classification of loans in line with the new elements of the definition. Small amendments to the share of FTB and SSB lending may occur in subsequent publications if there are changes to the underlying sample of loans.</t>
  </si>
  <si>
    <t>Table 4: Mean Loan Characteristics for SSBs In-Scope 2024 vs 2025</t>
  </si>
  <si>
    <t xml:space="preserve">Where multiple loans are originated on the same date to the same borrower(s), we count these as one single loan on this date. The balances of such loans are aggregated and a weighted interest rate applied. For all loans, LTV and LTI are reported at facility level. </t>
  </si>
  <si>
    <t>2024 figures may differ from previous published data. This is due to changes in the underlying sample.</t>
  </si>
  <si>
    <t xml:space="preserve">2024 figures may differ from previous published data. This is due to changes in the underlying sample. </t>
  </si>
  <si>
    <t xml:space="preserve">Table 5: Mean Loan Characteristics for BTLs In-Scope 2024 vs 2025 </t>
  </si>
  <si>
    <t>Table 6: Mean Loan Characteristics for FTBs and SSBs with and without an LTI Allowance in 2025</t>
  </si>
  <si>
    <t>This file provides an overview of new mortgage lending in Ireland for 2025 by the institutions reporting loan-by-loan data to the Central Bank of Ireland as part of the macroprudential mortgage measures.</t>
  </si>
  <si>
    <t>Seven lending institutions submitted data to the Central Bank of Ireland on new lending in 2025. These were: Allied Irish Banks (AIB, including the Educational Building Society (EBS)), Bank Inter, Bank of Ireland (BoI), BAWAG, Dilosk, Nua Money and Permanent TSB (PTSB).</t>
  </si>
  <si>
    <t>A total of 48,896 loans were originated by these institutions in 2025, with a value of €15.5 billion.</t>
  </si>
  <si>
    <t>Macroprudential Measures and Irish Mortgage Lending: An Overview of New Lending in 2025</t>
  </si>
  <si>
    <t>The majority of 2025 lending (92 per cent) was in-scope of the mortgage measures. The remaining 8 per cent of loans  were refinances without an increase in capital which are exempt from the regulations.</t>
  </si>
  <si>
    <t xml:space="preserve">The average FTB LTI has risen from 3.4x in 2024 to 3.5x in 2025. Average FTB LTV in 2025 increased marginally to 79.8% from 79.6% in 2024.  </t>
  </si>
  <si>
    <t>FTB LTI 2024 vs 2025</t>
  </si>
  <si>
    <t>Share of Loans 2024 (%)</t>
  </si>
  <si>
    <t>Share of Loans 2025 (%)</t>
  </si>
  <si>
    <t>FTB LTV 2024 vs 2025</t>
  </si>
  <si>
    <t>SSB LTV 2024 vs 2025</t>
  </si>
  <si>
    <t>SSB LTI 2024 vs 2025</t>
  </si>
  <si>
    <t>The share of FTB loans with an LTI between 3.75 and 4  increased in 2025. In 2025 the largest share of loans (36.9 per cent) had an LTI  between 3.75 and 4 times income up from 33.4 per cent of loans in 2024.</t>
  </si>
  <si>
    <t>For FTBs, borrowers with an LTI allowance were more likely to be purchasing property in Dublin, had a higher average loan size, property value and a longer term. These borrowers had a lower average income, were younger and more likely to be single applicants than those without an allowance.</t>
  </si>
  <si>
    <t>The average SSB LTV and LTI were essentially unchanged from 2024 at approximately 65.7 per cent and 2.7 times income respectively.</t>
  </si>
  <si>
    <t>SSBs with an LTI allowance had higher average loan sizes and property values than those without an allowance. They had longer loan terms, were younger on average and more likely to be purchasing in Dublin.</t>
  </si>
  <si>
    <t>Figure 1: LTV distribution for FTBs in 2024 vs 2025</t>
  </si>
  <si>
    <t>Figure 2: LTI distribution for FTBs in 2024 vs 2025</t>
  </si>
  <si>
    <t>Figure 3: LTV distribution for SSBs in 2024 vs 2025</t>
  </si>
  <si>
    <t>Figure 4: LTI distribution for SSBs in 2024 vs 2025</t>
  </si>
  <si>
    <t xml:space="preserve">Figure 5: Trend over Time in LTI for FTBs  </t>
  </si>
  <si>
    <t xml:space="preserve">Figure 6: Trend over Time in LTV for FTBs  </t>
  </si>
  <si>
    <t xml:space="preserve">Figure 7: Trend over Time in LTI for SSBs  </t>
  </si>
  <si>
    <t xml:space="preserve">Figure 8: Trend over Time in LTV for SSBs  </t>
  </si>
  <si>
    <t xml:space="preserve">Figure 9: Allocation of Allowances by Borrower Type,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</si>
</sst>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
    <numFmt numFmtId="166" formatCode="0.0"/>
    <numFmt numFmtId="167" formatCode="_-* #,##0.0_-;\-* #,##0.0_-;_-* &quot;-&quot;??_-;_-@_-"/>
    <numFmt numFmtId="168" formatCode="0.00000000000000"/>
    <numFmt numFmtId="169" formatCode="0.00000"/>
  </numFmts>
  <fonts count="20" x14ac:knownFonts="1">
    <font>
      <sz val="11"/>
      <color theme="1"/>
      <name val="Lato"/>
      <family val="2"/>
      <scheme val="minor"/>
    </font>
    <font>
      <sz val="11"/>
      <color theme="1"/>
      <name val="Lato"/>
      <family val="2"/>
    </font>
    <font>
      <b/>
      <sz val="11"/>
      <color rgb="FF009999"/>
      <name val="Lato"/>
      <family val="2"/>
    </font>
    <font>
      <i/>
      <sz val="11"/>
      <color theme="1"/>
      <name val="Lato"/>
      <family val="2"/>
    </font>
    <font>
      <b/>
      <sz val="11"/>
      <color theme="1"/>
      <name val="Lato"/>
      <family val="2"/>
    </font>
    <font>
      <sz val="10"/>
      <color rgb="FF009999"/>
      <name val="Lato"/>
      <family val="2"/>
    </font>
    <font>
      <sz val="11"/>
      <name val="Lato"/>
      <family val="2"/>
    </font>
    <font>
      <u/>
      <sz val="11"/>
      <color theme="10"/>
      <name val="Lato"/>
      <family val="2"/>
      <scheme val="minor"/>
    </font>
    <font>
      <sz val="11"/>
      <color theme="1"/>
      <name val="Times New Roman"/>
      <family val="2"/>
    </font>
    <font>
      <sz val="11"/>
      <color theme="1"/>
      <name val="Lato"/>
      <family val="2"/>
      <scheme val="minor"/>
    </font>
    <font>
      <i/>
      <sz val="11"/>
      <color theme="1"/>
      <name val="Calibri"/>
      <family val="2"/>
    </font>
    <font>
      <b/>
      <sz val="9"/>
      <color rgb="FF009999"/>
      <name val="Lato"/>
      <family val="2"/>
    </font>
    <font>
      <sz val="9"/>
      <color theme="1"/>
      <name val="Lato"/>
      <family val="2"/>
    </font>
    <font>
      <sz val="9"/>
      <color rgb="FF009999"/>
      <name val="Lato"/>
      <family val="2"/>
    </font>
    <font>
      <sz val="9"/>
      <color rgb="FFFF0000"/>
      <name val="Lato"/>
      <family val="2"/>
    </font>
    <font>
      <sz val="20"/>
      <color theme="1"/>
      <name val="Lato"/>
      <family val="2"/>
    </font>
    <font>
      <sz val="11"/>
      <color rgb="FF009999"/>
      <name val="Lato"/>
      <family val="2"/>
    </font>
    <font>
      <sz val="10"/>
      <color theme="1"/>
      <name val="Lato"/>
      <family val="2"/>
    </font>
    <font>
      <sz val="11"/>
      <color rgb="FFFF0000"/>
      <name val="Lato"/>
      <family val="2"/>
    </font>
    <font>
      <b/>
      <sz val="11"/>
      <color rgb="FF009999"/>
      <name val="Lato"/>
      <family val="2"/>
      <scheme val="minor"/>
    </font>
  </fonts>
  <fills count="3">
    <fill>
      <patternFill patternType="none"/>
    </fill>
    <fill>
      <patternFill patternType="gray125"/>
    </fill>
    <fill>
      <patternFill patternType="solid">
        <fgColor theme="0"/>
        <bgColor indexed="64"/>
      </patternFill>
    </fill>
  </fills>
  <borders count="3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0"/>
      </left>
      <right style="thin">
        <color theme="0"/>
      </right>
      <top style="thin">
        <color theme="0"/>
      </top>
      <bottom style="thin">
        <color theme="0"/>
      </bottom>
      <diagonal/>
    </border>
    <border>
      <left style="medium">
        <color theme="1"/>
      </left>
      <right style="thin">
        <color theme="0"/>
      </right>
      <top style="medium">
        <color theme="1"/>
      </top>
      <bottom style="thin">
        <color theme="0"/>
      </bottom>
      <diagonal/>
    </border>
    <border>
      <left style="thin">
        <color theme="0"/>
      </left>
      <right style="thin">
        <color theme="0"/>
      </right>
      <top style="medium">
        <color theme="1"/>
      </top>
      <bottom style="thin">
        <color theme="0"/>
      </bottom>
      <diagonal/>
    </border>
    <border>
      <left style="thin">
        <color theme="0"/>
      </left>
      <right style="medium">
        <color theme="1"/>
      </right>
      <top style="medium">
        <color theme="1"/>
      </top>
      <bottom style="thin">
        <color theme="0"/>
      </bottom>
      <diagonal/>
    </border>
    <border>
      <left style="medium">
        <color theme="1"/>
      </left>
      <right style="thin">
        <color theme="0"/>
      </right>
      <top style="thin">
        <color theme="0"/>
      </top>
      <bottom style="thin">
        <color theme="0"/>
      </bottom>
      <diagonal/>
    </border>
    <border>
      <left style="thin">
        <color theme="0"/>
      </left>
      <right style="medium">
        <color theme="1"/>
      </right>
      <top style="thin">
        <color theme="0"/>
      </top>
      <bottom style="thin">
        <color theme="0"/>
      </bottom>
      <diagonal/>
    </border>
    <border>
      <left style="medium">
        <color theme="1"/>
      </left>
      <right style="thin">
        <color theme="0"/>
      </right>
      <top style="thin">
        <color theme="0"/>
      </top>
      <bottom style="medium">
        <color theme="1"/>
      </bottom>
      <diagonal/>
    </border>
    <border>
      <left style="thin">
        <color theme="0"/>
      </left>
      <right style="thin">
        <color theme="0"/>
      </right>
      <top style="thin">
        <color theme="0"/>
      </top>
      <bottom style="medium">
        <color theme="1"/>
      </bottom>
      <diagonal/>
    </border>
    <border>
      <left style="thin">
        <color theme="0"/>
      </left>
      <right style="medium">
        <color theme="1"/>
      </right>
      <top style="thin">
        <color theme="0"/>
      </top>
      <bottom style="medium">
        <color theme="1"/>
      </bottom>
      <diagonal/>
    </border>
    <border>
      <left style="medium">
        <color theme="1"/>
      </left>
      <right/>
      <top style="thin">
        <color theme="0"/>
      </top>
      <bottom style="thin">
        <color theme="0"/>
      </bottom>
      <diagonal/>
    </border>
    <border>
      <left/>
      <right/>
      <top style="thin">
        <color theme="0"/>
      </top>
      <bottom style="thin">
        <color theme="0"/>
      </bottom>
      <diagonal/>
    </border>
    <border>
      <left/>
      <right style="medium">
        <color theme="1"/>
      </right>
      <top style="thin">
        <color theme="0"/>
      </top>
      <bottom style="thin">
        <color theme="0"/>
      </bottom>
      <diagonal/>
    </border>
    <border>
      <left style="medium">
        <color theme="1"/>
      </left>
      <right/>
      <top style="medium">
        <color theme="1"/>
      </top>
      <bottom style="thin">
        <color theme="0"/>
      </bottom>
      <diagonal/>
    </border>
    <border>
      <left/>
      <right/>
      <top style="medium">
        <color theme="1"/>
      </top>
      <bottom style="thin">
        <color theme="0"/>
      </bottom>
      <diagonal/>
    </border>
    <border>
      <left/>
      <right style="medium">
        <color theme="1"/>
      </right>
      <top style="medium">
        <color theme="1"/>
      </top>
      <bottom style="thin">
        <color theme="0"/>
      </bottom>
      <diagonal/>
    </border>
    <border>
      <left style="medium">
        <color theme="1"/>
      </left>
      <right/>
      <top style="thin">
        <color theme="0"/>
      </top>
      <bottom style="medium">
        <color theme="1"/>
      </bottom>
      <diagonal/>
    </border>
    <border>
      <left/>
      <right/>
      <top style="thin">
        <color theme="0"/>
      </top>
      <bottom style="medium">
        <color theme="1"/>
      </bottom>
      <diagonal/>
    </border>
    <border>
      <left/>
      <right style="medium">
        <color theme="1"/>
      </right>
      <top style="thin">
        <color theme="0"/>
      </top>
      <bottom style="medium">
        <color theme="1"/>
      </bottom>
      <diagonal/>
    </border>
  </borders>
  <cellStyleXfs count="4">
    <xf numFmtId="0" fontId="0" fillId="0" borderId="0"/>
    <xf numFmtId="0" fontId="7" fillId="0" borderId="0" applyNumberFormat="0" applyFill="0" applyBorder="0" applyAlignment="0" applyProtection="0"/>
    <xf numFmtId="0" fontId="8" fillId="0" borderId="0"/>
    <xf numFmtId="164" fontId="9" fillId="0" borderId="0" applyFont="0" applyFill="0" applyBorder="0" applyAlignment="0" applyProtection="0"/>
  </cellStyleXfs>
  <cellXfs count="185">
    <xf numFmtId="0" fontId="0" fillId="0" borderId="0" xfId="0"/>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0" borderId="0" xfId="0" applyFont="1"/>
    <xf numFmtId="0" fontId="1" fillId="2" borderId="5" xfId="0" applyFont="1" applyFill="1" applyBorder="1"/>
    <xf numFmtId="0" fontId="1" fillId="2" borderId="0" xfId="0" applyFont="1" applyFill="1"/>
    <xf numFmtId="0" fontId="1" fillId="2" borderId="6" xfId="0" applyFont="1" applyFill="1" applyBorder="1"/>
    <xf numFmtId="0" fontId="1" fillId="2" borderId="7" xfId="0" applyFont="1" applyFill="1" applyBorder="1"/>
    <xf numFmtId="0" fontId="2" fillId="2" borderId="1" xfId="0" applyFont="1" applyFill="1" applyBorder="1" applyAlignment="1">
      <alignment horizontal="center"/>
    </xf>
    <xf numFmtId="0" fontId="1" fillId="2" borderId="2" xfId="0" applyFont="1" applyFill="1" applyBorder="1"/>
    <xf numFmtId="0" fontId="1" fillId="2" borderId="3" xfId="0" applyFont="1" applyFill="1" applyBorder="1"/>
    <xf numFmtId="0" fontId="1" fillId="2" borderId="8" xfId="0" applyFont="1" applyFill="1" applyBorder="1"/>
    <xf numFmtId="0" fontId="1" fillId="2" borderId="15" xfId="0" applyFont="1" applyFill="1" applyBorder="1" applyAlignment="1">
      <alignment horizontal="center"/>
    </xf>
    <xf numFmtId="0" fontId="1" fillId="0" borderId="0" xfId="0" applyFont="1" applyAlignment="1">
      <alignment horizontal="center"/>
    </xf>
    <xf numFmtId="0" fontId="1" fillId="2" borderId="4" xfId="0" applyFont="1" applyFill="1" applyBorder="1"/>
    <xf numFmtId="0" fontId="1" fillId="2" borderId="9" xfId="0" applyFont="1" applyFill="1" applyBorder="1"/>
    <xf numFmtId="0" fontId="5" fillId="0" borderId="0" xfId="0" applyFont="1" applyAlignment="1">
      <alignment wrapText="1"/>
    </xf>
    <xf numFmtId="3" fontId="1" fillId="0" borderId="0" xfId="0" applyNumberFormat="1" applyFont="1"/>
    <xf numFmtId="166" fontId="1" fillId="0" borderId="0" xfId="0" applyNumberFormat="1" applyFont="1"/>
    <xf numFmtId="1" fontId="1" fillId="0" borderId="0" xfId="0" applyNumberFormat="1" applyFont="1"/>
    <xf numFmtId="2" fontId="1" fillId="0" borderId="0" xfId="0" applyNumberFormat="1" applyFont="1"/>
    <xf numFmtId="0" fontId="2" fillId="2" borderId="13" xfId="0" applyFont="1" applyFill="1" applyBorder="1" applyAlignment="1">
      <alignment horizontal="center"/>
    </xf>
    <xf numFmtId="0" fontId="5" fillId="2" borderId="7" xfId="0" applyFont="1" applyFill="1" applyBorder="1"/>
    <xf numFmtId="16" fontId="1" fillId="2" borderId="14" xfId="0" applyNumberFormat="1" applyFont="1" applyFill="1" applyBorder="1" applyAlignment="1">
      <alignment horizontal="center"/>
    </xf>
    <xf numFmtId="166" fontId="1" fillId="2" borderId="3" xfId="0" applyNumberFormat="1" applyFont="1" applyFill="1" applyBorder="1"/>
    <xf numFmtId="166" fontId="1" fillId="2" borderId="4" xfId="0" applyNumberFormat="1" applyFont="1" applyFill="1" applyBorder="1"/>
    <xf numFmtId="0" fontId="6" fillId="2" borderId="14" xfId="0" applyFont="1" applyFill="1" applyBorder="1" applyAlignment="1">
      <alignment horizontal="center"/>
    </xf>
    <xf numFmtId="3" fontId="5" fillId="0" borderId="0" xfId="0" applyNumberFormat="1" applyFont="1" applyAlignment="1">
      <alignment wrapText="1"/>
    </xf>
    <xf numFmtId="167" fontId="1" fillId="0" borderId="0" xfId="0" applyNumberFormat="1" applyFont="1"/>
    <xf numFmtId="0" fontId="1" fillId="0" borderId="0" xfId="0" applyFont="1" applyAlignment="1">
      <alignment horizontal="right"/>
    </xf>
    <xf numFmtId="49" fontId="1" fillId="0" borderId="0" xfId="0" applyNumberFormat="1" applyFont="1" applyAlignment="1">
      <alignment horizontal="right"/>
    </xf>
    <xf numFmtId="0" fontId="3" fillId="0" borderId="0" xfId="0" applyFont="1" applyAlignment="1">
      <alignment horizontal="right"/>
    </xf>
    <xf numFmtId="0" fontId="4" fillId="0" borderId="0" xfId="0" applyFont="1" applyAlignment="1">
      <alignment horizontal="right"/>
    </xf>
    <xf numFmtId="0" fontId="2" fillId="2" borderId="12" xfId="0" applyFont="1" applyFill="1" applyBorder="1" applyAlignment="1">
      <alignment horizontal="center"/>
    </xf>
    <xf numFmtId="0" fontId="4" fillId="0" borderId="0" xfId="0" applyFont="1"/>
    <xf numFmtId="168" fontId="1" fillId="0" borderId="0" xfId="0" applyNumberFormat="1" applyFont="1"/>
    <xf numFmtId="166" fontId="1" fillId="0" borderId="0" xfId="0" applyNumberFormat="1" applyFont="1" applyAlignment="1">
      <alignment horizontal="center"/>
    </xf>
    <xf numFmtId="3" fontId="1" fillId="0" borderId="0" xfId="0" applyNumberFormat="1" applyFont="1" applyAlignment="1">
      <alignment horizontal="right"/>
    </xf>
    <xf numFmtId="0" fontId="10" fillId="0" borderId="0" xfId="0" applyFont="1" applyAlignment="1">
      <alignment vertical="center"/>
    </xf>
    <xf numFmtId="0" fontId="12" fillId="2" borderId="2" xfId="0" applyFont="1" applyFill="1" applyBorder="1"/>
    <xf numFmtId="0" fontId="12" fillId="2" borderId="5" xfId="0" applyFont="1" applyFill="1" applyBorder="1"/>
    <xf numFmtId="0" fontId="12" fillId="2" borderId="3" xfId="0" applyFont="1" applyFill="1" applyBorder="1"/>
    <xf numFmtId="0" fontId="12" fillId="2" borderId="4" xfId="0" applyFont="1" applyFill="1" applyBorder="1"/>
    <xf numFmtId="0" fontId="13" fillId="2" borderId="7" xfId="0" applyFont="1" applyFill="1" applyBorder="1"/>
    <xf numFmtId="0" fontId="12" fillId="2" borderId="8" xfId="0" applyFont="1" applyFill="1" applyBorder="1"/>
    <xf numFmtId="0" fontId="12" fillId="2" borderId="9" xfId="0" applyFont="1" applyFill="1" applyBorder="1"/>
    <xf numFmtId="0" fontId="12" fillId="0" borderId="0" xfId="0" applyFont="1"/>
    <xf numFmtId="0" fontId="12" fillId="2" borderId="0" xfId="0" applyFont="1" applyFill="1"/>
    <xf numFmtId="0" fontId="12" fillId="2" borderId="6" xfId="0" applyFont="1" applyFill="1" applyBorder="1"/>
    <xf numFmtId="2" fontId="12" fillId="0" borderId="0" xfId="0" applyNumberFormat="1" applyFont="1"/>
    <xf numFmtId="0" fontId="12" fillId="0" borderId="0" xfId="0" applyFont="1" applyAlignment="1">
      <alignment horizontal="center"/>
    </xf>
    <xf numFmtId="0" fontId="11" fillId="0" borderId="0" xfId="0" applyFont="1"/>
    <xf numFmtId="0" fontId="12" fillId="2" borderId="7" xfId="0" applyFont="1" applyFill="1" applyBorder="1"/>
    <xf numFmtId="0" fontId="14" fillId="0" borderId="0" xfId="0" applyFont="1"/>
    <xf numFmtId="0" fontId="13" fillId="0" borderId="2" xfId="0" applyFont="1" applyBorder="1"/>
    <xf numFmtId="169" fontId="1" fillId="0" borderId="0" xfId="0" applyNumberFormat="1" applyFont="1"/>
    <xf numFmtId="0" fontId="2" fillId="0" borderId="1" xfId="0" applyFont="1" applyBorder="1" applyAlignment="1">
      <alignment horizontal="left" vertical="center"/>
    </xf>
    <xf numFmtId="0" fontId="1" fillId="2" borderId="13" xfId="0" applyFont="1" applyFill="1" applyBorder="1"/>
    <xf numFmtId="9" fontId="1" fillId="2" borderId="13" xfId="0" applyNumberFormat="1" applyFont="1" applyFill="1" applyBorder="1" applyAlignment="1">
      <alignment horizontal="center"/>
    </xf>
    <xf numFmtId="0" fontId="1" fillId="2" borderId="13" xfId="0" applyFont="1" applyFill="1" applyBorder="1" applyAlignment="1">
      <alignment horizontal="left"/>
    </xf>
    <xf numFmtId="0" fontId="1" fillId="2" borderId="14" xfId="0" applyFont="1" applyFill="1" applyBorder="1"/>
    <xf numFmtId="0" fontId="1" fillId="2" borderId="14" xfId="0" applyFont="1" applyFill="1" applyBorder="1" applyAlignment="1">
      <alignment horizontal="left"/>
    </xf>
    <xf numFmtId="9" fontId="1" fillId="2" borderId="14" xfId="0" applyNumberFormat="1" applyFont="1" applyFill="1" applyBorder="1" applyAlignment="1">
      <alignment horizontal="center"/>
    </xf>
    <xf numFmtId="0" fontId="1" fillId="2" borderId="15" xfId="0" applyFont="1" applyFill="1" applyBorder="1"/>
    <xf numFmtId="0" fontId="1" fillId="2" borderId="15" xfId="0" applyFont="1" applyFill="1" applyBorder="1" applyAlignment="1">
      <alignment horizontal="left"/>
    </xf>
    <xf numFmtId="0" fontId="2" fillId="2" borderId="1" xfId="0" applyFont="1" applyFill="1" applyBorder="1" applyAlignment="1">
      <alignment horizontal="left" vertical="center"/>
    </xf>
    <xf numFmtId="0" fontId="1" fillId="2" borderId="10" xfId="0" applyFont="1" applyFill="1" applyBorder="1"/>
    <xf numFmtId="1" fontId="1" fillId="2" borderId="14" xfId="0" applyNumberFormat="1" applyFont="1" applyFill="1" applyBorder="1" applyAlignment="1">
      <alignment horizontal="center"/>
    </xf>
    <xf numFmtId="0" fontId="3" fillId="2" borderId="14" xfId="0" applyFont="1" applyFill="1" applyBorder="1"/>
    <xf numFmtId="0" fontId="4" fillId="2" borderId="14" xfId="0" applyFont="1" applyFill="1" applyBorder="1"/>
    <xf numFmtId="3" fontId="1" fillId="2" borderId="14" xfId="0" applyNumberFormat="1" applyFont="1" applyFill="1" applyBorder="1" applyAlignment="1">
      <alignment horizontal="center"/>
    </xf>
    <xf numFmtId="0" fontId="17" fillId="2" borderId="0" xfId="0" applyFont="1" applyFill="1"/>
    <xf numFmtId="0" fontId="17" fillId="2" borderId="6" xfId="0" applyFont="1" applyFill="1" applyBorder="1"/>
    <xf numFmtId="0" fontId="17" fillId="2" borderId="8" xfId="0" applyFont="1" applyFill="1" applyBorder="1"/>
    <xf numFmtId="0" fontId="17" fillId="2" borderId="9" xfId="0" applyFont="1" applyFill="1" applyBorder="1"/>
    <xf numFmtId="0" fontId="4" fillId="2" borderId="2" xfId="0" applyFont="1" applyFill="1" applyBorder="1"/>
    <xf numFmtId="166" fontId="1" fillId="2" borderId="14" xfId="0" applyNumberFormat="1" applyFont="1" applyFill="1" applyBorder="1" applyAlignment="1">
      <alignment horizontal="center" vertical="center"/>
    </xf>
    <xf numFmtId="1" fontId="1" fillId="2" borderId="14" xfId="3" applyNumberFormat="1" applyFont="1" applyFill="1" applyBorder="1" applyAlignment="1">
      <alignment horizontal="center" vertical="center"/>
    </xf>
    <xf numFmtId="166" fontId="1" fillId="2" borderId="14" xfId="3" applyNumberFormat="1" applyFont="1" applyFill="1" applyBorder="1" applyAlignment="1">
      <alignment horizontal="center" vertical="center"/>
    </xf>
    <xf numFmtId="0" fontId="3" fillId="2" borderId="5" xfId="0" applyFont="1" applyFill="1" applyBorder="1"/>
    <xf numFmtId="0" fontId="4" fillId="2" borderId="5" xfId="0" applyFont="1" applyFill="1" applyBorder="1"/>
    <xf numFmtId="3" fontId="1" fillId="2" borderId="14" xfId="3" applyNumberFormat="1" applyFont="1" applyFill="1" applyBorder="1" applyAlignment="1">
      <alignment horizontal="center" vertical="center"/>
    </xf>
    <xf numFmtId="166" fontId="3" fillId="2" borderId="14" xfId="3" applyNumberFormat="1" applyFont="1" applyFill="1" applyBorder="1" applyAlignment="1">
      <alignment horizontal="center" vertical="center"/>
    </xf>
    <xf numFmtId="166" fontId="1" fillId="2" borderId="14" xfId="0" applyNumberFormat="1" applyFont="1" applyFill="1" applyBorder="1" applyAlignment="1">
      <alignment horizontal="center"/>
    </xf>
    <xf numFmtId="2" fontId="18" fillId="0" borderId="0" xfId="0" applyNumberFormat="1" applyFont="1"/>
    <xf numFmtId="165" fontId="1" fillId="0" borderId="0" xfId="0" applyNumberFormat="1" applyFont="1"/>
    <xf numFmtId="165" fontId="1" fillId="0" borderId="0" xfId="0" applyNumberFormat="1" applyFont="1" applyAlignment="1">
      <alignment horizontal="center"/>
    </xf>
    <xf numFmtId="165" fontId="1" fillId="0" borderId="0" xfId="0" applyNumberFormat="1" applyFont="1" applyAlignment="1">
      <alignment horizontal="right"/>
    </xf>
    <xf numFmtId="0" fontId="3" fillId="0" borderId="0" xfId="0" applyFont="1"/>
    <xf numFmtId="0" fontId="13" fillId="2" borderId="22" xfId="0" applyFont="1" applyFill="1" applyBorder="1"/>
    <xf numFmtId="0" fontId="12" fillId="2" borderId="23" xfId="0" applyFont="1" applyFill="1" applyBorder="1"/>
    <xf numFmtId="0" fontId="12" fillId="2" borderId="24" xfId="0" applyFont="1" applyFill="1" applyBorder="1"/>
    <xf numFmtId="3" fontId="1" fillId="2" borderId="13" xfId="3" applyNumberFormat="1" applyFont="1" applyFill="1" applyBorder="1" applyAlignment="1">
      <alignment horizontal="center" vertical="center"/>
    </xf>
    <xf numFmtId="165" fontId="1" fillId="2" borderId="15" xfId="3" applyNumberFormat="1" applyFont="1" applyFill="1" applyBorder="1" applyAlignment="1">
      <alignment horizontal="center" vertical="center"/>
    </xf>
    <xf numFmtId="0" fontId="5" fillId="2" borderId="5" xfId="0" applyFont="1" applyFill="1" applyBorder="1"/>
    <xf numFmtId="0" fontId="18" fillId="0" borderId="0" xfId="0" applyFont="1"/>
    <xf numFmtId="0" fontId="2" fillId="2" borderId="2" xfId="0" applyFont="1" applyFill="1" applyBorder="1"/>
    <xf numFmtId="166" fontId="1" fillId="2" borderId="13" xfId="0" applyNumberFormat="1" applyFont="1" applyFill="1" applyBorder="1" applyAlignment="1">
      <alignment horizontal="center"/>
    </xf>
    <xf numFmtId="166" fontId="1" fillId="2" borderId="4" xfId="0" applyNumberFormat="1" applyFont="1" applyFill="1" applyBorder="1" applyAlignment="1">
      <alignment horizontal="center"/>
    </xf>
    <xf numFmtId="166" fontId="1" fillId="2" borderId="6" xfId="0" applyNumberFormat="1" applyFont="1" applyFill="1" applyBorder="1" applyAlignment="1">
      <alignment horizontal="center"/>
    </xf>
    <xf numFmtId="1" fontId="1" fillId="2" borderId="6" xfId="0" applyNumberFormat="1" applyFont="1" applyFill="1" applyBorder="1" applyAlignment="1">
      <alignment horizontal="center"/>
    </xf>
    <xf numFmtId="0" fontId="2" fillId="2" borderId="5" xfId="0" applyFont="1" applyFill="1" applyBorder="1"/>
    <xf numFmtId="166" fontId="1" fillId="2" borderId="15" xfId="0" applyNumberFormat="1" applyFont="1" applyFill="1" applyBorder="1" applyAlignment="1">
      <alignment horizontal="center"/>
    </xf>
    <xf numFmtId="166" fontId="1" fillId="2" borderId="9" xfId="0" applyNumberFormat="1" applyFont="1" applyFill="1" applyBorder="1" applyAlignment="1">
      <alignment horizontal="center"/>
    </xf>
    <xf numFmtId="0" fontId="7" fillId="0" borderId="0" xfId="1"/>
    <xf numFmtId="0" fontId="13" fillId="0" borderId="0" xfId="0" applyFont="1"/>
    <xf numFmtId="0" fontId="2" fillId="0" borderId="13" xfId="0" applyFont="1" applyBorder="1" applyAlignment="1">
      <alignment horizontal="center"/>
    </xf>
    <xf numFmtId="0" fontId="2" fillId="0" borderId="14" xfId="0" applyFont="1" applyBorder="1" applyAlignment="1">
      <alignment horizontal="center"/>
    </xf>
    <xf numFmtId="166" fontId="2" fillId="2" borderId="13" xfId="0" applyNumberFormat="1" applyFont="1" applyFill="1" applyBorder="1" applyAlignment="1">
      <alignment horizontal="center"/>
    </xf>
    <xf numFmtId="166" fontId="2" fillId="2" borderId="4" xfId="0" applyNumberFormat="1" applyFont="1" applyFill="1" applyBorder="1" applyAlignment="1">
      <alignment horizontal="center"/>
    </xf>
    <xf numFmtId="166" fontId="0" fillId="0" borderId="3" xfId="0" applyNumberFormat="1" applyBorder="1" applyAlignment="1">
      <alignment horizontal="center"/>
    </xf>
    <xf numFmtId="1" fontId="0" fillId="0" borderId="3" xfId="0" applyNumberFormat="1" applyBorder="1" applyAlignment="1">
      <alignment horizontal="center"/>
    </xf>
    <xf numFmtId="1" fontId="0" fillId="0" borderId="4" xfId="0" applyNumberFormat="1" applyBorder="1" applyAlignment="1">
      <alignment horizontal="center"/>
    </xf>
    <xf numFmtId="1" fontId="0" fillId="0" borderId="6" xfId="0" applyNumberFormat="1" applyBorder="1" applyAlignment="1">
      <alignment horizontal="center"/>
    </xf>
    <xf numFmtId="0" fontId="19" fillId="0" borderId="13" xfId="0" applyFont="1" applyBorder="1" applyAlignment="1">
      <alignment horizontal="center"/>
    </xf>
    <xf numFmtId="0" fontId="19" fillId="0" borderId="14" xfId="0" applyFont="1" applyBorder="1" applyAlignment="1">
      <alignment horizontal="center"/>
    </xf>
    <xf numFmtId="166" fontId="0" fillId="0" borderId="0" xfId="0" applyNumberFormat="1" applyAlignment="1">
      <alignment horizontal="center"/>
    </xf>
    <xf numFmtId="1" fontId="0" fillId="0" borderId="0" xfId="0" applyNumberFormat="1" applyAlignment="1">
      <alignment horizontal="center"/>
    </xf>
    <xf numFmtId="0" fontId="19" fillId="0" borderId="15" xfId="0" applyFont="1" applyBorder="1" applyAlignment="1">
      <alignment horizontal="center"/>
    </xf>
    <xf numFmtId="1" fontId="0" fillId="0" borderId="8" xfId="0" applyNumberFormat="1" applyBorder="1" applyAlignment="1">
      <alignment horizontal="center"/>
    </xf>
    <xf numFmtId="1" fontId="0" fillId="0" borderId="9" xfId="0" applyNumberFormat="1" applyBorder="1" applyAlignment="1">
      <alignment horizontal="center"/>
    </xf>
    <xf numFmtId="3" fontId="1" fillId="0" borderId="0" xfId="0" applyNumberFormat="1" applyFont="1" applyAlignment="1">
      <alignment horizontal="center"/>
    </xf>
    <xf numFmtId="3" fontId="1" fillId="2" borderId="13" xfId="0" applyNumberFormat="1" applyFont="1" applyFill="1" applyBorder="1" applyAlignment="1">
      <alignment horizontal="center"/>
    </xf>
    <xf numFmtId="3" fontId="1" fillId="2" borderId="15" xfId="0" applyNumberFormat="1" applyFont="1" applyFill="1" applyBorder="1" applyAlignment="1">
      <alignment horizontal="center"/>
    </xf>
    <xf numFmtId="0" fontId="13" fillId="2" borderId="2" xfId="0" applyFont="1" applyFill="1" applyBorder="1"/>
    <xf numFmtId="4" fontId="1" fillId="0" borderId="0" xfId="0" applyNumberFormat="1" applyFont="1" applyAlignment="1">
      <alignment horizontal="center"/>
    </xf>
    <xf numFmtId="0" fontId="13" fillId="2" borderId="17" xfId="0" applyFont="1" applyFill="1" applyBorder="1"/>
    <xf numFmtId="0" fontId="13" fillId="2" borderId="18" xfId="0" applyFont="1" applyFill="1" applyBorder="1"/>
    <xf numFmtId="0" fontId="13" fillId="2" borderId="19" xfId="0" applyFont="1" applyFill="1" applyBorder="1"/>
    <xf numFmtId="3" fontId="18" fillId="0" borderId="0" xfId="0" applyNumberFormat="1" applyFont="1"/>
    <xf numFmtId="166" fontId="0" fillId="0" borderId="8" xfId="0" applyNumberFormat="1" applyBorder="1" applyAlignment="1">
      <alignment horizontal="center"/>
    </xf>
    <xf numFmtId="0" fontId="15" fillId="2" borderId="0" xfId="0" applyFont="1" applyFill="1" applyAlignment="1">
      <alignment horizontal="center"/>
    </xf>
    <xf numFmtId="0" fontId="15" fillId="2" borderId="8" xfId="0" applyFont="1" applyFill="1" applyBorder="1" applyAlignment="1">
      <alignment horizontal="center"/>
    </xf>
    <xf numFmtId="0" fontId="6" fillId="0" borderId="25" xfId="0" applyFont="1" applyBorder="1" applyAlignment="1">
      <alignment horizontal="left" vertical="center" wrapText="1"/>
    </xf>
    <xf numFmtId="0" fontId="6" fillId="0" borderId="26" xfId="0" applyFont="1" applyBorder="1" applyAlignment="1">
      <alignment horizontal="left" vertical="center" wrapText="1"/>
    </xf>
    <xf numFmtId="0" fontId="6" fillId="0" borderId="27" xfId="0" applyFont="1" applyBorder="1" applyAlignment="1">
      <alignment horizontal="left" vertical="center" wrapText="1"/>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6" fillId="0" borderId="33" xfId="0" applyFont="1" applyBorder="1" applyAlignment="1">
      <alignment horizontal="left" vertical="center" wrapText="1"/>
    </xf>
    <xf numFmtId="0" fontId="1" fillId="0" borderId="25" xfId="0" applyFont="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2" fillId="2" borderId="2" xfId="0" applyFont="1" applyFill="1" applyBorder="1" applyAlignment="1">
      <alignment horizontal="center"/>
    </xf>
    <xf numFmtId="0" fontId="16" fillId="2" borderId="3" xfId="0" applyFont="1" applyFill="1" applyBorder="1" applyAlignment="1">
      <alignment horizontal="center"/>
    </xf>
    <xf numFmtId="0" fontId="16" fillId="2" borderId="4" xfId="0" applyFont="1" applyFill="1" applyBorder="1" applyAlignment="1">
      <alignment horizontal="center"/>
    </xf>
    <xf numFmtId="0" fontId="1" fillId="0" borderId="28" xfId="0" applyFont="1" applyBorder="1" applyAlignment="1">
      <alignment horizontal="left" vertical="center" wrapText="1"/>
    </xf>
    <xf numFmtId="0" fontId="1" fillId="0" borderId="29" xfId="0" applyFont="1" applyBorder="1" applyAlignment="1">
      <alignment horizontal="left" vertical="center" wrapText="1"/>
    </xf>
    <xf numFmtId="0" fontId="1" fillId="0" borderId="30" xfId="0" applyFont="1" applyBorder="1" applyAlignment="1">
      <alignment horizontal="left" vertical="center" wrapText="1"/>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2" borderId="10" xfId="0" applyFont="1" applyFill="1" applyBorder="1" applyAlignment="1">
      <alignment horizontal="left" vertical="center"/>
    </xf>
    <xf numFmtId="0" fontId="2" fillId="2" borderId="11" xfId="0" applyFont="1" applyFill="1" applyBorder="1" applyAlignment="1">
      <alignment horizontal="left" vertical="center"/>
    </xf>
    <xf numFmtId="0" fontId="2" fillId="2" borderId="12" xfId="0" applyFont="1" applyFill="1" applyBorder="1" applyAlignment="1">
      <alignment horizontal="left" vertical="center"/>
    </xf>
    <xf numFmtId="0" fontId="7" fillId="0" borderId="10" xfId="1" applyBorder="1"/>
    <xf numFmtId="0" fontId="7" fillId="0" borderId="11" xfId="1" applyBorder="1"/>
    <xf numFmtId="0" fontId="7" fillId="0" borderId="12" xfId="1" applyBorder="1"/>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13" fillId="2" borderId="2" xfId="0" applyFont="1" applyFill="1" applyBorder="1" applyAlignment="1">
      <alignment horizontal="left" wrapText="1"/>
    </xf>
    <xf numFmtId="0" fontId="13" fillId="2" borderId="3" xfId="0" applyFont="1" applyFill="1" applyBorder="1" applyAlignment="1">
      <alignment horizontal="left" wrapText="1"/>
    </xf>
    <xf numFmtId="0" fontId="13" fillId="2" borderId="4" xfId="0" applyFont="1" applyFill="1" applyBorder="1" applyAlignment="1">
      <alignment horizontal="left" wrapText="1"/>
    </xf>
    <xf numFmtId="2" fontId="13" fillId="2" borderId="7" xfId="0" applyNumberFormat="1" applyFont="1" applyFill="1" applyBorder="1" applyAlignment="1">
      <alignment horizontal="left" vertical="top" wrapText="1"/>
    </xf>
    <xf numFmtId="2" fontId="13" fillId="2" borderId="8" xfId="0" applyNumberFormat="1" applyFont="1" applyFill="1" applyBorder="1" applyAlignment="1">
      <alignment horizontal="left" vertical="top" wrapText="1"/>
    </xf>
    <xf numFmtId="2" fontId="13" fillId="2" borderId="9" xfId="0" applyNumberFormat="1" applyFont="1" applyFill="1" applyBorder="1" applyAlignment="1">
      <alignment horizontal="left" vertical="top" wrapText="1"/>
    </xf>
    <xf numFmtId="2" fontId="13" fillId="2" borderId="5" xfId="0" applyNumberFormat="1" applyFont="1" applyFill="1" applyBorder="1" applyAlignment="1">
      <alignment horizontal="left" vertical="top" wrapText="1"/>
    </xf>
    <xf numFmtId="2" fontId="13" fillId="2" borderId="0" xfId="0" applyNumberFormat="1" applyFont="1" applyFill="1" applyAlignment="1">
      <alignment horizontal="left" vertical="top" wrapText="1"/>
    </xf>
    <xf numFmtId="2" fontId="13" fillId="2" borderId="6" xfId="0" applyNumberFormat="1" applyFont="1" applyFill="1" applyBorder="1" applyAlignment="1">
      <alignment horizontal="left" vertical="top" wrapText="1"/>
    </xf>
    <xf numFmtId="2" fontId="13" fillId="2" borderId="20" xfId="0" applyNumberFormat="1" applyFont="1" applyFill="1" applyBorder="1" applyAlignment="1">
      <alignment horizontal="left" vertical="top" wrapText="1"/>
    </xf>
    <xf numFmtId="2" fontId="13" fillId="2" borderId="16" xfId="0" applyNumberFormat="1" applyFont="1" applyFill="1" applyBorder="1" applyAlignment="1">
      <alignment horizontal="left" vertical="top" wrapText="1"/>
    </xf>
    <xf numFmtId="2" fontId="13" fillId="2" borderId="21" xfId="0" applyNumberFormat="1"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0" xfId="0" applyFont="1" applyFill="1" applyAlignment="1">
      <alignment horizontal="left" vertical="top" wrapText="1"/>
    </xf>
    <xf numFmtId="0" fontId="5" fillId="2" borderId="6" xfId="0" applyFont="1" applyFill="1" applyBorder="1" applyAlignment="1">
      <alignment horizontal="left" vertical="top" wrapText="1"/>
    </xf>
    <xf numFmtId="2" fontId="2" fillId="0" borderId="10" xfId="0" applyNumberFormat="1" applyFont="1" applyBorder="1" applyAlignment="1">
      <alignment horizontal="center"/>
    </xf>
    <xf numFmtId="2" fontId="2" fillId="0" borderId="11" xfId="0" applyNumberFormat="1" applyFont="1" applyBorder="1" applyAlignment="1">
      <alignment horizontal="center"/>
    </xf>
    <xf numFmtId="2" fontId="2" fillId="0" borderId="12" xfId="0" applyNumberFormat="1" applyFont="1" applyBorder="1" applyAlignment="1">
      <alignment horizontal="center"/>
    </xf>
    <xf numFmtId="0" fontId="13" fillId="0" borderId="10" xfId="0" applyFont="1" applyBorder="1" applyAlignment="1">
      <alignment horizontal="left" wrapText="1"/>
    </xf>
    <xf numFmtId="0" fontId="13" fillId="0" borderId="11" xfId="0" applyFont="1" applyBorder="1" applyAlignment="1">
      <alignment horizontal="left" wrapText="1"/>
    </xf>
    <xf numFmtId="0" fontId="13" fillId="0" borderId="12" xfId="0" applyFont="1" applyBorder="1" applyAlignment="1">
      <alignment horizontal="left" wrapText="1"/>
    </xf>
  </cellXfs>
  <cellStyles count="4">
    <cellStyle name="Comma" xfId="3" builtinId="3"/>
    <cellStyle name="Hyperlink" xfId="1" builtinId="8"/>
    <cellStyle name="Normal" xfId="0" builtinId="0"/>
    <cellStyle name="Normal 2" xfId="2" xr:uid="{00000000-0005-0000-0000-000003000000}"/>
  </cellStyles>
  <dxfs count="0"/>
  <tableStyles count="0" defaultTableStyle="TableStyleMedium2" defaultPivotStyle="PivotStyleLight16"/>
  <colors>
    <mruColors>
      <color rgb="FF009999"/>
      <color rgb="FF33CCCC"/>
      <color rgb="FF0099CC"/>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over time in LTV and LTI'!$C$31</c:f>
              <c:strCache>
                <c:ptCount val="1"/>
                <c:pt idx="0">
                  <c:v>LTI FTB P10</c:v>
                </c:pt>
              </c:strCache>
            </c:strRef>
          </c:tx>
          <c:spPr>
            <a:ln w="28575" cap="rnd">
              <a:solidFill>
                <a:schemeClr val="bg2"/>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LTI'!$C$32:$C$51</c:f>
              <c:numCache>
                <c:formatCode>0.0</c:formatCode>
                <c:ptCount val="20"/>
                <c:pt idx="0">
                  <c:v>2.6</c:v>
                </c:pt>
                <c:pt idx="1">
                  <c:v>2.7</c:v>
                </c:pt>
                <c:pt idx="2">
                  <c:v>2.8</c:v>
                </c:pt>
                <c:pt idx="3">
                  <c:v>2.65</c:v>
                </c:pt>
                <c:pt idx="4">
                  <c:v>2.4</c:v>
                </c:pt>
                <c:pt idx="5">
                  <c:v>2</c:v>
                </c:pt>
                <c:pt idx="6">
                  <c:v>1.65</c:v>
                </c:pt>
                <c:pt idx="7">
                  <c:v>1.5</c:v>
                </c:pt>
                <c:pt idx="8">
                  <c:v>1.6</c:v>
                </c:pt>
                <c:pt idx="9">
                  <c:v>1.73</c:v>
                </c:pt>
                <c:pt idx="10">
                  <c:v>1.87</c:v>
                </c:pt>
                <c:pt idx="11">
                  <c:v>2.0299999999999998</c:v>
                </c:pt>
                <c:pt idx="12">
                  <c:v>2.12</c:v>
                </c:pt>
                <c:pt idx="13">
                  <c:v>2.17</c:v>
                </c:pt>
                <c:pt idx="14">
                  <c:v>2.2400000000000002</c:v>
                </c:pt>
                <c:pt idx="15">
                  <c:v>2.33</c:v>
                </c:pt>
                <c:pt idx="16">
                  <c:v>2.39</c:v>
                </c:pt>
                <c:pt idx="17">
                  <c:v>2.38</c:v>
                </c:pt>
                <c:pt idx="18">
                  <c:v>2.41</c:v>
                </c:pt>
                <c:pt idx="19">
                  <c:v>2.48</c:v>
                </c:pt>
              </c:numCache>
            </c:numRef>
          </c:val>
          <c:smooth val="0"/>
          <c:extLst>
            <c:ext xmlns:c16="http://schemas.microsoft.com/office/drawing/2014/chart" uri="{C3380CC4-5D6E-409C-BE32-E72D297353CC}">
              <c16:uniqueId val="{00000000-8B97-4EB4-83A9-568ABBE226C8}"/>
            </c:ext>
          </c:extLst>
        </c:ser>
        <c:ser>
          <c:idx val="1"/>
          <c:order val="1"/>
          <c:tx>
            <c:strRef>
              <c:f>'Trend over time in LTV and LTI'!$D$31</c:f>
              <c:strCache>
                <c:ptCount val="1"/>
                <c:pt idx="0">
                  <c:v>LTI FTB P25</c:v>
                </c:pt>
              </c:strCache>
            </c:strRef>
          </c:tx>
          <c:spPr>
            <a:ln w="28575" cap="rnd">
              <a:solidFill>
                <a:schemeClr val="tx2"/>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LTI'!$D$32:$D$51</c:f>
              <c:numCache>
                <c:formatCode>0.0</c:formatCode>
                <c:ptCount val="20"/>
                <c:pt idx="0">
                  <c:v>3.45</c:v>
                </c:pt>
                <c:pt idx="1">
                  <c:v>3.6</c:v>
                </c:pt>
                <c:pt idx="2">
                  <c:v>3.65</c:v>
                </c:pt>
                <c:pt idx="3">
                  <c:v>3.4</c:v>
                </c:pt>
                <c:pt idx="4">
                  <c:v>3.1</c:v>
                </c:pt>
                <c:pt idx="5">
                  <c:v>2.6</c:v>
                </c:pt>
                <c:pt idx="6">
                  <c:v>2.25</c:v>
                </c:pt>
                <c:pt idx="7">
                  <c:v>2.1</c:v>
                </c:pt>
                <c:pt idx="8">
                  <c:v>2.1</c:v>
                </c:pt>
                <c:pt idx="9">
                  <c:v>2.31</c:v>
                </c:pt>
                <c:pt idx="10">
                  <c:v>2.44</c:v>
                </c:pt>
                <c:pt idx="11">
                  <c:v>2.58</c:v>
                </c:pt>
                <c:pt idx="12">
                  <c:v>2.68</c:v>
                </c:pt>
                <c:pt idx="13">
                  <c:v>2.73</c:v>
                </c:pt>
                <c:pt idx="14">
                  <c:v>2.78</c:v>
                </c:pt>
                <c:pt idx="15">
                  <c:v>2.87</c:v>
                </c:pt>
                <c:pt idx="16">
                  <c:v>2.92</c:v>
                </c:pt>
                <c:pt idx="17">
                  <c:v>2.95</c:v>
                </c:pt>
                <c:pt idx="18">
                  <c:v>2.98</c:v>
                </c:pt>
                <c:pt idx="19">
                  <c:v>3.09</c:v>
                </c:pt>
              </c:numCache>
            </c:numRef>
          </c:val>
          <c:smooth val="0"/>
          <c:extLst>
            <c:ext xmlns:c16="http://schemas.microsoft.com/office/drawing/2014/chart" uri="{C3380CC4-5D6E-409C-BE32-E72D297353CC}">
              <c16:uniqueId val="{00000001-8B97-4EB4-83A9-568ABBE226C8}"/>
            </c:ext>
          </c:extLst>
        </c:ser>
        <c:ser>
          <c:idx val="3"/>
          <c:order val="3"/>
          <c:tx>
            <c:strRef>
              <c:f>'Trend over time in LTV and LTI'!$F$31</c:f>
              <c:strCache>
                <c:ptCount val="1"/>
                <c:pt idx="0">
                  <c:v>LTI FTB P75</c:v>
                </c:pt>
              </c:strCache>
            </c:strRef>
          </c:tx>
          <c:spPr>
            <a:ln w="28575" cap="rnd">
              <a:solidFill>
                <a:schemeClr val="accent2"/>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LTI'!$F$32:$F$51</c:f>
              <c:numCache>
                <c:formatCode>0.0</c:formatCode>
                <c:ptCount val="20"/>
                <c:pt idx="0">
                  <c:v>5</c:v>
                </c:pt>
                <c:pt idx="1">
                  <c:v>5.15</c:v>
                </c:pt>
                <c:pt idx="2">
                  <c:v>5.3</c:v>
                </c:pt>
                <c:pt idx="3">
                  <c:v>5</c:v>
                </c:pt>
                <c:pt idx="4">
                  <c:v>4.7</c:v>
                </c:pt>
                <c:pt idx="5">
                  <c:v>4.2</c:v>
                </c:pt>
                <c:pt idx="6">
                  <c:v>3.75</c:v>
                </c:pt>
                <c:pt idx="7">
                  <c:v>3.45</c:v>
                </c:pt>
                <c:pt idx="8">
                  <c:v>3.4</c:v>
                </c:pt>
                <c:pt idx="9">
                  <c:v>3.45</c:v>
                </c:pt>
                <c:pt idx="10">
                  <c:v>3.43</c:v>
                </c:pt>
                <c:pt idx="11">
                  <c:v>3.49</c:v>
                </c:pt>
                <c:pt idx="12">
                  <c:v>3.49</c:v>
                </c:pt>
                <c:pt idx="13">
                  <c:v>3.49</c:v>
                </c:pt>
                <c:pt idx="14">
                  <c:v>3.49</c:v>
                </c:pt>
                <c:pt idx="15">
                  <c:v>3.5</c:v>
                </c:pt>
                <c:pt idx="16">
                  <c:v>3.5</c:v>
                </c:pt>
                <c:pt idx="17">
                  <c:v>3.83</c:v>
                </c:pt>
                <c:pt idx="18">
                  <c:v>3.94</c:v>
                </c:pt>
                <c:pt idx="19">
                  <c:v>3.99</c:v>
                </c:pt>
              </c:numCache>
            </c:numRef>
          </c:val>
          <c:smooth val="0"/>
          <c:extLst>
            <c:ext xmlns:c16="http://schemas.microsoft.com/office/drawing/2014/chart" uri="{C3380CC4-5D6E-409C-BE32-E72D297353CC}">
              <c16:uniqueId val="{00000003-8B97-4EB4-83A9-568ABBE226C8}"/>
            </c:ext>
          </c:extLst>
        </c:ser>
        <c:ser>
          <c:idx val="4"/>
          <c:order val="4"/>
          <c:tx>
            <c:strRef>
              <c:f>'Trend over time in LTV and LTI'!$G$31</c:f>
              <c:strCache>
                <c:ptCount val="1"/>
                <c:pt idx="0">
                  <c:v>LTI FTB P90 </c:v>
                </c:pt>
              </c:strCache>
            </c:strRef>
          </c:tx>
          <c:spPr>
            <a:ln w="28575" cap="rnd">
              <a:solidFill>
                <a:schemeClr val="accent5"/>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LTI'!$G$32:$G$51</c:f>
              <c:numCache>
                <c:formatCode>0.0</c:formatCode>
                <c:ptCount val="20"/>
                <c:pt idx="0">
                  <c:v>5.7</c:v>
                </c:pt>
                <c:pt idx="1">
                  <c:v>5.85</c:v>
                </c:pt>
                <c:pt idx="2">
                  <c:v>6</c:v>
                </c:pt>
                <c:pt idx="3">
                  <c:v>5.6</c:v>
                </c:pt>
                <c:pt idx="4">
                  <c:v>5.25</c:v>
                </c:pt>
                <c:pt idx="5">
                  <c:v>4.75</c:v>
                </c:pt>
                <c:pt idx="6">
                  <c:v>4.4000000000000004</c:v>
                </c:pt>
                <c:pt idx="7">
                  <c:v>3.95</c:v>
                </c:pt>
                <c:pt idx="8">
                  <c:v>3.9</c:v>
                </c:pt>
                <c:pt idx="9">
                  <c:v>3.85</c:v>
                </c:pt>
                <c:pt idx="10">
                  <c:v>3.69</c:v>
                </c:pt>
                <c:pt idx="11">
                  <c:v>3.91</c:v>
                </c:pt>
                <c:pt idx="12">
                  <c:v>3.77</c:v>
                </c:pt>
                <c:pt idx="13">
                  <c:v>3.74</c:v>
                </c:pt>
                <c:pt idx="14">
                  <c:v>3.5</c:v>
                </c:pt>
                <c:pt idx="15">
                  <c:v>3.63</c:v>
                </c:pt>
                <c:pt idx="16">
                  <c:v>3.8</c:v>
                </c:pt>
                <c:pt idx="17">
                  <c:v>4</c:v>
                </c:pt>
                <c:pt idx="18">
                  <c:v>4</c:v>
                </c:pt>
                <c:pt idx="19">
                  <c:v>4</c:v>
                </c:pt>
              </c:numCache>
            </c:numRef>
          </c:val>
          <c:smooth val="0"/>
          <c:extLst>
            <c:ext xmlns:c16="http://schemas.microsoft.com/office/drawing/2014/chart" uri="{C3380CC4-5D6E-409C-BE32-E72D297353CC}">
              <c16:uniqueId val="{00000004-8B97-4EB4-83A9-568ABBE226C8}"/>
            </c:ext>
          </c:extLst>
        </c:ser>
        <c:ser>
          <c:idx val="2"/>
          <c:order val="2"/>
          <c:tx>
            <c:strRef>
              <c:f>'Trend over time in LTV and LTI'!$E$31</c:f>
              <c:strCache>
                <c:ptCount val="1"/>
                <c:pt idx="0">
                  <c:v>LTI FTB Median</c:v>
                </c:pt>
              </c:strCache>
            </c:strRef>
          </c:tx>
          <c:spPr>
            <a:ln w="28575" cap="rnd">
              <a:solidFill>
                <a:schemeClr val="accent1"/>
              </a:solidFill>
              <a:prstDash val="dash"/>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LTI'!$E$32:$E$51</c:f>
              <c:numCache>
                <c:formatCode>0.0</c:formatCode>
                <c:ptCount val="20"/>
                <c:pt idx="0">
                  <c:v>4.25</c:v>
                </c:pt>
                <c:pt idx="1">
                  <c:v>4.4000000000000004</c:v>
                </c:pt>
                <c:pt idx="2">
                  <c:v>4.5</c:v>
                </c:pt>
                <c:pt idx="3">
                  <c:v>4.2</c:v>
                </c:pt>
                <c:pt idx="4">
                  <c:v>3.95</c:v>
                </c:pt>
                <c:pt idx="5">
                  <c:v>3.4</c:v>
                </c:pt>
                <c:pt idx="6">
                  <c:v>3</c:v>
                </c:pt>
                <c:pt idx="7">
                  <c:v>2.75</c:v>
                </c:pt>
                <c:pt idx="8">
                  <c:v>2.75</c:v>
                </c:pt>
                <c:pt idx="9">
                  <c:v>2.91</c:v>
                </c:pt>
                <c:pt idx="10">
                  <c:v>3.01</c:v>
                </c:pt>
                <c:pt idx="11">
                  <c:v>3.15</c:v>
                </c:pt>
                <c:pt idx="12">
                  <c:v>3.22</c:v>
                </c:pt>
                <c:pt idx="13">
                  <c:v>3.25</c:v>
                </c:pt>
                <c:pt idx="14">
                  <c:v>3.27</c:v>
                </c:pt>
                <c:pt idx="15">
                  <c:v>3.34</c:v>
                </c:pt>
                <c:pt idx="16">
                  <c:v>3.36</c:v>
                </c:pt>
                <c:pt idx="17">
                  <c:v>3.44</c:v>
                </c:pt>
                <c:pt idx="18">
                  <c:v>3.53</c:v>
                </c:pt>
                <c:pt idx="19">
                  <c:v>3.65</c:v>
                </c:pt>
              </c:numCache>
            </c:numRef>
          </c:val>
          <c:smooth val="0"/>
          <c:extLst>
            <c:ext xmlns:c16="http://schemas.microsoft.com/office/drawing/2014/chart" uri="{C3380CC4-5D6E-409C-BE32-E72D297353CC}">
              <c16:uniqueId val="{00000002-8B97-4EB4-83A9-568ABBE226C8}"/>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03065327843191E-2"/>
          <c:y val="5.181347150259067E-2"/>
          <c:w val="0.91534831081894574"/>
          <c:h val="0.73191071912054328"/>
        </c:manualLayout>
      </c:layout>
      <c:lineChart>
        <c:grouping val="standard"/>
        <c:varyColors val="0"/>
        <c:ser>
          <c:idx val="0"/>
          <c:order val="0"/>
          <c:tx>
            <c:strRef>
              <c:f>'Trend over time in LTV and LTI'!$H$31</c:f>
              <c:strCache>
                <c:ptCount val="1"/>
                <c:pt idx="0">
                  <c:v>LTV FTB P10</c:v>
                </c:pt>
              </c:strCache>
            </c:strRef>
          </c:tx>
          <c:spPr>
            <a:ln w="28575" cap="rnd">
              <a:solidFill>
                <a:schemeClr val="bg2"/>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LTI'!$H$32:$H$51</c:f>
              <c:numCache>
                <c:formatCode>0</c:formatCode>
                <c:ptCount val="20"/>
                <c:pt idx="0">
                  <c:v>48</c:v>
                </c:pt>
                <c:pt idx="1">
                  <c:v>46</c:v>
                </c:pt>
                <c:pt idx="2">
                  <c:v>47</c:v>
                </c:pt>
                <c:pt idx="3">
                  <c:v>49</c:v>
                </c:pt>
                <c:pt idx="4">
                  <c:v>50</c:v>
                </c:pt>
                <c:pt idx="5">
                  <c:v>42</c:v>
                </c:pt>
                <c:pt idx="6">
                  <c:v>41</c:v>
                </c:pt>
                <c:pt idx="7">
                  <c:v>43</c:v>
                </c:pt>
                <c:pt idx="8">
                  <c:v>47</c:v>
                </c:pt>
                <c:pt idx="9">
                  <c:v>56.14</c:v>
                </c:pt>
                <c:pt idx="10">
                  <c:v>57.14</c:v>
                </c:pt>
                <c:pt idx="11">
                  <c:v>59.49</c:v>
                </c:pt>
                <c:pt idx="12">
                  <c:v>59.43</c:v>
                </c:pt>
                <c:pt idx="13">
                  <c:v>62.02</c:v>
                </c:pt>
                <c:pt idx="14">
                  <c:v>64.91</c:v>
                </c:pt>
                <c:pt idx="15">
                  <c:v>62.06</c:v>
                </c:pt>
                <c:pt idx="16">
                  <c:v>61.2</c:v>
                </c:pt>
                <c:pt idx="17">
                  <c:v>60.33</c:v>
                </c:pt>
                <c:pt idx="18">
                  <c:v>59.1</c:v>
                </c:pt>
                <c:pt idx="19">
                  <c:v>58.13</c:v>
                </c:pt>
              </c:numCache>
            </c:numRef>
          </c:val>
          <c:smooth val="0"/>
          <c:extLst>
            <c:ext xmlns:c16="http://schemas.microsoft.com/office/drawing/2014/chart" uri="{C3380CC4-5D6E-409C-BE32-E72D297353CC}">
              <c16:uniqueId val="{00000000-04DA-416F-8D0E-FE8670BC42A6}"/>
            </c:ext>
          </c:extLst>
        </c:ser>
        <c:ser>
          <c:idx val="1"/>
          <c:order val="1"/>
          <c:tx>
            <c:strRef>
              <c:f>'Trend over time in LTV and LTI'!$I$31</c:f>
              <c:strCache>
                <c:ptCount val="1"/>
                <c:pt idx="0">
                  <c:v>LTV FTB P25</c:v>
                </c:pt>
              </c:strCache>
            </c:strRef>
          </c:tx>
          <c:spPr>
            <a:ln w="28575" cap="rnd">
              <a:solidFill>
                <a:schemeClr val="tx2"/>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LTI'!$I$32:$I$51</c:f>
              <c:numCache>
                <c:formatCode>0</c:formatCode>
                <c:ptCount val="20"/>
                <c:pt idx="0">
                  <c:v>72</c:v>
                </c:pt>
                <c:pt idx="1">
                  <c:v>65</c:v>
                </c:pt>
                <c:pt idx="2">
                  <c:v>64</c:v>
                </c:pt>
                <c:pt idx="3">
                  <c:v>66</c:v>
                </c:pt>
                <c:pt idx="4">
                  <c:v>71</c:v>
                </c:pt>
                <c:pt idx="5">
                  <c:v>66</c:v>
                </c:pt>
                <c:pt idx="6">
                  <c:v>66</c:v>
                </c:pt>
                <c:pt idx="7">
                  <c:v>65</c:v>
                </c:pt>
                <c:pt idx="8">
                  <c:v>69</c:v>
                </c:pt>
                <c:pt idx="9">
                  <c:v>72.86</c:v>
                </c:pt>
                <c:pt idx="10">
                  <c:v>73.790000000000006</c:v>
                </c:pt>
                <c:pt idx="11">
                  <c:v>75</c:v>
                </c:pt>
                <c:pt idx="12">
                  <c:v>75</c:v>
                </c:pt>
                <c:pt idx="13">
                  <c:v>76.84</c:v>
                </c:pt>
                <c:pt idx="14">
                  <c:v>77.78</c:v>
                </c:pt>
                <c:pt idx="15">
                  <c:v>75.56</c:v>
                </c:pt>
                <c:pt idx="16">
                  <c:v>75</c:v>
                </c:pt>
                <c:pt idx="17">
                  <c:v>74.349999999999994</c:v>
                </c:pt>
                <c:pt idx="18">
                  <c:v>72.73</c:v>
                </c:pt>
                <c:pt idx="19">
                  <c:v>73.03</c:v>
                </c:pt>
              </c:numCache>
            </c:numRef>
          </c:val>
          <c:smooth val="0"/>
          <c:extLst>
            <c:ext xmlns:c16="http://schemas.microsoft.com/office/drawing/2014/chart" uri="{C3380CC4-5D6E-409C-BE32-E72D297353CC}">
              <c16:uniqueId val="{00000005-04DA-416F-8D0E-FE8670BC42A6}"/>
            </c:ext>
          </c:extLst>
        </c:ser>
        <c:ser>
          <c:idx val="2"/>
          <c:order val="2"/>
          <c:tx>
            <c:strRef>
              <c:f>'Trend over time in LTV and LTI'!$J$31</c:f>
              <c:strCache>
                <c:ptCount val="1"/>
                <c:pt idx="0">
                  <c:v>LTV FTB Median</c:v>
                </c:pt>
              </c:strCache>
            </c:strRef>
          </c:tx>
          <c:spPr>
            <a:ln w="28575" cap="rnd">
              <a:solidFill>
                <a:schemeClr val="accent1"/>
              </a:solidFill>
              <a:prstDash val="dash"/>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LTI'!$J$32:$J$51</c:f>
              <c:numCache>
                <c:formatCode>0</c:formatCode>
                <c:ptCount val="20"/>
                <c:pt idx="0">
                  <c:v>92</c:v>
                </c:pt>
                <c:pt idx="1">
                  <c:v>90</c:v>
                </c:pt>
                <c:pt idx="2">
                  <c:v>87</c:v>
                </c:pt>
                <c:pt idx="3">
                  <c:v>81</c:v>
                </c:pt>
                <c:pt idx="4">
                  <c:v>85</c:v>
                </c:pt>
                <c:pt idx="5">
                  <c:v>85</c:v>
                </c:pt>
                <c:pt idx="6">
                  <c:v>85</c:v>
                </c:pt>
                <c:pt idx="7">
                  <c:v>83</c:v>
                </c:pt>
                <c:pt idx="8">
                  <c:v>85</c:v>
                </c:pt>
                <c:pt idx="9">
                  <c:v>85</c:v>
                </c:pt>
                <c:pt idx="10">
                  <c:v>84.92</c:v>
                </c:pt>
                <c:pt idx="11">
                  <c:v>85.83</c:v>
                </c:pt>
                <c:pt idx="12">
                  <c:v>86.2</c:v>
                </c:pt>
                <c:pt idx="13">
                  <c:v>87.62</c:v>
                </c:pt>
                <c:pt idx="14">
                  <c:v>88</c:v>
                </c:pt>
                <c:pt idx="15">
                  <c:v>85.62</c:v>
                </c:pt>
                <c:pt idx="16">
                  <c:v>85.57</c:v>
                </c:pt>
                <c:pt idx="17">
                  <c:v>85.87</c:v>
                </c:pt>
                <c:pt idx="18">
                  <c:v>84.87</c:v>
                </c:pt>
                <c:pt idx="19">
                  <c:v>85</c:v>
                </c:pt>
              </c:numCache>
            </c:numRef>
          </c:val>
          <c:smooth val="0"/>
          <c:extLst>
            <c:ext xmlns:c16="http://schemas.microsoft.com/office/drawing/2014/chart" uri="{C3380CC4-5D6E-409C-BE32-E72D297353CC}">
              <c16:uniqueId val="{00000006-04DA-416F-8D0E-FE8670BC42A6}"/>
            </c:ext>
          </c:extLst>
        </c:ser>
        <c:ser>
          <c:idx val="3"/>
          <c:order val="3"/>
          <c:tx>
            <c:strRef>
              <c:f>'Trend over time in LTV and LTI'!$K$31</c:f>
              <c:strCache>
                <c:ptCount val="1"/>
                <c:pt idx="0">
                  <c:v>LTV FTB P75</c:v>
                </c:pt>
              </c:strCache>
            </c:strRef>
          </c:tx>
          <c:spPr>
            <a:ln w="28575" cap="rnd">
              <a:solidFill>
                <a:schemeClr val="accent2"/>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LTI'!$K$32:$K$51</c:f>
              <c:numCache>
                <c:formatCode>0</c:formatCode>
                <c:ptCount val="20"/>
                <c:pt idx="0">
                  <c:v>100</c:v>
                </c:pt>
                <c:pt idx="1">
                  <c:v>98</c:v>
                </c:pt>
                <c:pt idx="2">
                  <c:v>94</c:v>
                </c:pt>
                <c:pt idx="3">
                  <c:v>92</c:v>
                </c:pt>
                <c:pt idx="4">
                  <c:v>92</c:v>
                </c:pt>
                <c:pt idx="5">
                  <c:v>90</c:v>
                </c:pt>
                <c:pt idx="6">
                  <c:v>90</c:v>
                </c:pt>
                <c:pt idx="7">
                  <c:v>90</c:v>
                </c:pt>
                <c:pt idx="8">
                  <c:v>90</c:v>
                </c:pt>
                <c:pt idx="9">
                  <c:v>90</c:v>
                </c:pt>
                <c:pt idx="10">
                  <c:v>89.78</c:v>
                </c:pt>
                <c:pt idx="11">
                  <c:v>90</c:v>
                </c:pt>
                <c:pt idx="12">
                  <c:v>90</c:v>
                </c:pt>
                <c:pt idx="13">
                  <c:v>90</c:v>
                </c:pt>
                <c:pt idx="14">
                  <c:v>90</c:v>
                </c:pt>
                <c:pt idx="15">
                  <c:v>90</c:v>
                </c:pt>
                <c:pt idx="16">
                  <c:v>90</c:v>
                </c:pt>
                <c:pt idx="17">
                  <c:v>90</c:v>
                </c:pt>
                <c:pt idx="18">
                  <c:v>90</c:v>
                </c:pt>
                <c:pt idx="19">
                  <c:v>90</c:v>
                </c:pt>
              </c:numCache>
            </c:numRef>
          </c:val>
          <c:smooth val="0"/>
          <c:extLst>
            <c:ext xmlns:c16="http://schemas.microsoft.com/office/drawing/2014/chart" uri="{C3380CC4-5D6E-409C-BE32-E72D297353CC}">
              <c16:uniqueId val="{00000007-04DA-416F-8D0E-FE8670BC42A6}"/>
            </c:ext>
          </c:extLst>
        </c:ser>
        <c:ser>
          <c:idx val="4"/>
          <c:order val="4"/>
          <c:tx>
            <c:strRef>
              <c:f>'Trend over time in LTV and LTI'!$L$31</c:f>
              <c:strCache>
                <c:ptCount val="1"/>
                <c:pt idx="0">
                  <c:v>LTV FTB P90 </c:v>
                </c:pt>
              </c:strCache>
            </c:strRef>
          </c:tx>
          <c:spPr>
            <a:ln w="28575" cap="rnd">
              <a:solidFill>
                <a:schemeClr val="accent5"/>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LTI'!$L$32:$L$51</c:f>
              <c:numCache>
                <c:formatCode>0</c:formatCode>
                <c:ptCount val="20"/>
                <c:pt idx="0">
                  <c:v>100</c:v>
                </c:pt>
                <c:pt idx="1">
                  <c:v>100</c:v>
                </c:pt>
                <c:pt idx="2">
                  <c:v>100</c:v>
                </c:pt>
                <c:pt idx="3">
                  <c:v>92</c:v>
                </c:pt>
                <c:pt idx="4">
                  <c:v>92</c:v>
                </c:pt>
                <c:pt idx="5">
                  <c:v>92</c:v>
                </c:pt>
                <c:pt idx="6">
                  <c:v>92</c:v>
                </c:pt>
                <c:pt idx="7">
                  <c:v>92</c:v>
                </c:pt>
                <c:pt idx="8">
                  <c:v>92</c:v>
                </c:pt>
                <c:pt idx="9">
                  <c:v>90</c:v>
                </c:pt>
                <c:pt idx="10">
                  <c:v>90</c:v>
                </c:pt>
                <c:pt idx="11">
                  <c:v>90</c:v>
                </c:pt>
                <c:pt idx="12">
                  <c:v>90</c:v>
                </c:pt>
                <c:pt idx="13">
                  <c:v>90</c:v>
                </c:pt>
                <c:pt idx="14">
                  <c:v>90</c:v>
                </c:pt>
                <c:pt idx="15">
                  <c:v>90</c:v>
                </c:pt>
                <c:pt idx="16">
                  <c:v>90</c:v>
                </c:pt>
                <c:pt idx="17">
                  <c:v>90</c:v>
                </c:pt>
                <c:pt idx="18">
                  <c:v>90</c:v>
                </c:pt>
                <c:pt idx="19">
                  <c:v>90</c:v>
                </c:pt>
              </c:numCache>
            </c:numRef>
          </c:val>
          <c:smooth val="0"/>
          <c:extLst>
            <c:ext xmlns:c16="http://schemas.microsoft.com/office/drawing/2014/chart" uri="{C3380CC4-5D6E-409C-BE32-E72D297353CC}">
              <c16:uniqueId val="{00000008-04DA-416F-8D0E-FE8670BC42A6}"/>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over time in LTV and LTI'!$M$31</c:f>
              <c:strCache>
                <c:ptCount val="1"/>
                <c:pt idx="0">
                  <c:v>LTI SSB P10</c:v>
                </c:pt>
              </c:strCache>
            </c:strRef>
          </c:tx>
          <c:spPr>
            <a:ln w="28575" cap="rnd">
              <a:solidFill>
                <a:schemeClr val="bg2"/>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LTI'!$M$32:$M$51</c:f>
              <c:numCache>
                <c:formatCode>0.0</c:formatCode>
                <c:ptCount val="20"/>
                <c:pt idx="0">
                  <c:v>1.45</c:v>
                </c:pt>
                <c:pt idx="1">
                  <c:v>1.45</c:v>
                </c:pt>
                <c:pt idx="2">
                  <c:v>1.4</c:v>
                </c:pt>
                <c:pt idx="3">
                  <c:v>1.25</c:v>
                </c:pt>
                <c:pt idx="4">
                  <c:v>1.2</c:v>
                </c:pt>
                <c:pt idx="5">
                  <c:v>1.05</c:v>
                </c:pt>
                <c:pt idx="6">
                  <c:v>1</c:v>
                </c:pt>
                <c:pt idx="7">
                  <c:v>1</c:v>
                </c:pt>
                <c:pt idx="8">
                  <c:v>1.05</c:v>
                </c:pt>
                <c:pt idx="9">
                  <c:v>1.06</c:v>
                </c:pt>
                <c:pt idx="10">
                  <c:v>1.17</c:v>
                </c:pt>
                <c:pt idx="11">
                  <c:v>1.29</c:v>
                </c:pt>
                <c:pt idx="12">
                  <c:v>1.31</c:v>
                </c:pt>
                <c:pt idx="13">
                  <c:v>1.32</c:v>
                </c:pt>
                <c:pt idx="14">
                  <c:v>1.37</c:v>
                </c:pt>
                <c:pt idx="15">
                  <c:v>1.43</c:v>
                </c:pt>
                <c:pt idx="16">
                  <c:v>1.52</c:v>
                </c:pt>
                <c:pt idx="17">
                  <c:v>1.52</c:v>
                </c:pt>
                <c:pt idx="18">
                  <c:v>1.49</c:v>
                </c:pt>
                <c:pt idx="19">
                  <c:v>1.49</c:v>
                </c:pt>
              </c:numCache>
            </c:numRef>
          </c:val>
          <c:smooth val="0"/>
          <c:extLst>
            <c:ext xmlns:c16="http://schemas.microsoft.com/office/drawing/2014/chart" uri="{C3380CC4-5D6E-409C-BE32-E72D297353CC}">
              <c16:uniqueId val="{00000000-3E27-4642-B2A9-3DBFB81983DF}"/>
            </c:ext>
          </c:extLst>
        </c:ser>
        <c:ser>
          <c:idx val="1"/>
          <c:order val="1"/>
          <c:tx>
            <c:strRef>
              <c:f>'Trend over time in LTV and LTI'!$N$31</c:f>
              <c:strCache>
                <c:ptCount val="1"/>
                <c:pt idx="0">
                  <c:v>LTI SSB P25</c:v>
                </c:pt>
              </c:strCache>
            </c:strRef>
          </c:tx>
          <c:spPr>
            <a:ln w="28575" cap="rnd">
              <a:solidFill>
                <a:schemeClr val="tx2"/>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LTI'!$N$32:$N$51</c:f>
              <c:numCache>
                <c:formatCode>0.0</c:formatCode>
                <c:ptCount val="20"/>
                <c:pt idx="0">
                  <c:v>2.35</c:v>
                </c:pt>
                <c:pt idx="1">
                  <c:v>2.4500000000000002</c:v>
                </c:pt>
                <c:pt idx="2">
                  <c:v>2.35</c:v>
                </c:pt>
                <c:pt idx="3">
                  <c:v>2.0499999999999998</c:v>
                </c:pt>
                <c:pt idx="4">
                  <c:v>2</c:v>
                </c:pt>
                <c:pt idx="5">
                  <c:v>1.55</c:v>
                </c:pt>
                <c:pt idx="6">
                  <c:v>1.5</c:v>
                </c:pt>
                <c:pt idx="7">
                  <c:v>1.5</c:v>
                </c:pt>
                <c:pt idx="8">
                  <c:v>1.6</c:v>
                </c:pt>
                <c:pt idx="9">
                  <c:v>1.62</c:v>
                </c:pt>
                <c:pt idx="10">
                  <c:v>1.73</c:v>
                </c:pt>
                <c:pt idx="11">
                  <c:v>1.89</c:v>
                </c:pt>
                <c:pt idx="12">
                  <c:v>1.91</c:v>
                </c:pt>
                <c:pt idx="13">
                  <c:v>1.92</c:v>
                </c:pt>
                <c:pt idx="14">
                  <c:v>1.95</c:v>
                </c:pt>
                <c:pt idx="15">
                  <c:v>2.0099999999999998</c:v>
                </c:pt>
                <c:pt idx="16">
                  <c:v>2.14</c:v>
                </c:pt>
                <c:pt idx="17">
                  <c:v>2.12</c:v>
                </c:pt>
                <c:pt idx="18">
                  <c:v>2.1</c:v>
                </c:pt>
                <c:pt idx="19">
                  <c:v>2.12</c:v>
                </c:pt>
              </c:numCache>
            </c:numRef>
          </c:val>
          <c:smooth val="0"/>
          <c:extLst>
            <c:ext xmlns:c16="http://schemas.microsoft.com/office/drawing/2014/chart" uri="{C3380CC4-5D6E-409C-BE32-E72D297353CC}">
              <c16:uniqueId val="{00000007-3E27-4642-B2A9-3DBFB81983DF}"/>
            </c:ext>
          </c:extLst>
        </c:ser>
        <c:ser>
          <c:idx val="2"/>
          <c:order val="2"/>
          <c:tx>
            <c:strRef>
              <c:f>'Trend over time in LTV and LTI'!$O$31</c:f>
              <c:strCache>
                <c:ptCount val="1"/>
                <c:pt idx="0">
                  <c:v>LTI SSB Median</c:v>
                </c:pt>
              </c:strCache>
            </c:strRef>
          </c:tx>
          <c:spPr>
            <a:ln w="28575" cap="rnd">
              <a:solidFill>
                <a:schemeClr val="accent1"/>
              </a:solidFill>
              <a:prstDash val="dash"/>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LTI'!$O$32:$O$51</c:f>
              <c:numCache>
                <c:formatCode>0.0</c:formatCode>
                <c:ptCount val="20"/>
                <c:pt idx="0">
                  <c:v>3.45</c:v>
                </c:pt>
                <c:pt idx="1">
                  <c:v>3.55</c:v>
                </c:pt>
                <c:pt idx="2">
                  <c:v>3.4</c:v>
                </c:pt>
                <c:pt idx="3">
                  <c:v>3.15</c:v>
                </c:pt>
                <c:pt idx="4">
                  <c:v>2.95</c:v>
                </c:pt>
                <c:pt idx="5">
                  <c:v>2.25</c:v>
                </c:pt>
                <c:pt idx="6">
                  <c:v>2.1</c:v>
                </c:pt>
                <c:pt idx="7">
                  <c:v>2.1</c:v>
                </c:pt>
                <c:pt idx="8">
                  <c:v>2.2000000000000002</c:v>
                </c:pt>
                <c:pt idx="9">
                  <c:v>2.2599999999999998</c:v>
                </c:pt>
                <c:pt idx="10">
                  <c:v>2.37</c:v>
                </c:pt>
                <c:pt idx="11">
                  <c:v>2.5299999999999998</c:v>
                </c:pt>
                <c:pt idx="12">
                  <c:v>2.5499999999999998</c:v>
                </c:pt>
                <c:pt idx="13">
                  <c:v>2.57</c:v>
                </c:pt>
                <c:pt idx="14">
                  <c:v>2.59</c:v>
                </c:pt>
                <c:pt idx="15">
                  <c:v>2.66</c:v>
                </c:pt>
                <c:pt idx="16">
                  <c:v>2.82</c:v>
                </c:pt>
                <c:pt idx="17">
                  <c:v>2.78</c:v>
                </c:pt>
                <c:pt idx="18">
                  <c:v>2.77</c:v>
                </c:pt>
                <c:pt idx="19">
                  <c:v>2.79</c:v>
                </c:pt>
              </c:numCache>
            </c:numRef>
          </c:val>
          <c:smooth val="0"/>
          <c:extLst>
            <c:ext xmlns:c16="http://schemas.microsoft.com/office/drawing/2014/chart" uri="{C3380CC4-5D6E-409C-BE32-E72D297353CC}">
              <c16:uniqueId val="{00000008-3E27-4642-B2A9-3DBFB81983DF}"/>
            </c:ext>
          </c:extLst>
        </c:ser>
        <c:ser>
          <c:idx val="3"/>
          <c:order val="3"/>
          <c:tx>
            <c:strRef>
              <c:f>'Trend over time in LTV and LTI'!$P$31</c:f>
              <c:strCache>
                <c:ptCount val="1"/>
                <c:pt idx="0">
                  <c:v>LTI SSB P75</c:v>
                </c:pt>
              </c:strCache>
            </c:strRef>
          </c:tx>
          <c:spPr>
            <a:ln w="28575" cap="rnd">
              <a:solidFill>
                <a:schemeClr val="accent2"/>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LTI'!$P$32:$P$51</c:f>
              <c:numCache>
                <c:formatCode>0.0</c:formatCode>
                <c:ptCount val="20"/>
                <c:pt idx="0">
                  <c:v>4.55</c:v>
                </c:pt>
                <c:pt idx="1">
                  <c:v>4.5999999999999996</c:v>
                </c:pt>
                <c:pt idx="2">
                  <c:v>4.45</c:v>
                </c:pt>
                <c:pt idx="3">
                  <c:v>4.2</c:v>
                </c:pt>
                <c:pt idx="4">
                  <c:v>3.95</c:v>
                </c:pt>
                <c:pt idx="5">
                  <c:v>3</c:v>
                </c:pt>
                <c:pt idx="6">
                  <c:v>2.75</c:v>
                </c:pt>
                <c:pt idx="7">
                  <c:v>2.75</c:v>
                </c:pt>
                <c:pt idx="8">
                  <c:v>2.85</c:v>
                </c:pt>
                <c:pt idx="9">
                  <c:v>2.9</c:v>
                </c:pt>
                <c:pt idx="10">
                  <c:v>2.98</c:v>
                </c:pt>
                <c:pt idx="11">
                  <c:v>3.12</c:v>
                </c:pt>
                <c:pt idx="12">
                  <c:v>3.15</c:v>
                </c:pt>
                <c:pt idx="13">
                  <c:v>3.17</c:v>
                </c:pt>
                <c:pt idx="14">
                  <c:v>3.18</c:v>
                </c:pt>
                <c:pt idx="15">
                  <c:v>3.24</c:v>
                </c:pt>
                <c:pt idx="16">
                  <c:v>3.34</c:v>
                </c:pt>
                <c:pt idx="17">
                  <c:v>3.33</c:v>
                </c:pt>
                <c:pt idx="18">
                  <c:v>3.33</c:v>
                </c:pt>
                <c:pt idx="19">
                  <c:v>3.35</c:v>
                </c:pt>
              </c:numCache>
            </c:numRef>
          </c:val>
          <c:smooth val="0"/>
          <c:extLst>
            <c:ext xmlns:c16="http://schemas.microsoft.com/office/drawing/2014/chart" uri="{C3380CC4-5D6E-409C-BE32-E72D297353CC}">
              <c16:uniqueId val="{00000009-3E27-4642-B2A9-3DBFB81983DF}"/>
            </c:ext>
          </c:extLst>
        </c:ser>
        <c:ser>
          <c:idx val="4"/>
          <c:order val="4"/>
          <c:tx>
            <c:strRef>
              <c:f>'Trend over time in LTV and LTI'!$Q$31</c:f>
              <c:strCache>
                <c:ptCount val="1"/>
                <c:pt idx="0">
                  <c:v>LTI SSB P90 </c:v>
                </c:pt>
              </c:strCache>
            </c:strRef>
          </c:tx>
          <c:spPr>
            <a:ln w="28575" cap="rnd">
              <a:solidFill>
                <a:schemeClr val="accent5"/>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LTI'!$Q$32:$Q$51</c:f>
              <c:numCache>
                <c:formatCode>0.0</c:formatCode>
                <c:ptCount val="20"/>
                <c:pt idx="0">
                  <c:v>5.55</c:v>
                </c:pt>
                <c:pt idx="1">
                  <c:v>5.6</c:v>
                </c:pt>
                <c:pt idx="2">
                  <c:v>5.4</c:v>
                </c:pt>
                <c:pt idx="3">
                  <c:v>5.25</c:v>
                </c:pt>
                <c:pt idx="4">
                  <c:v>4.9000000000000004</c:v>
                </c:pt>
                <c:pt idx="5">
                  <c:v>3.7</c:v>
                </c:pt>
                <c:pt idx="6">
                  <c:v>3.45</c:v>
                </c:pt>
                <c:pt idx="7">
                  <c:v>3.4</c:v>
                </c:pt>
                <c:pt idx="8">
                  <c:v>3.5</c:v>
                </c:pt>
                <c:pt idx="9">
                  <c:v>3.42</c:v>
                </c:pt>
                <c:pt idx="10">
                  <c:v>3.44</c:v>
                </c:pt>
                <c:pt idx="11">
                  <c:v>3.49</c:v>
                </c:pt>
                <c:pt idx="12">
                  <c:v>3.48</c:v>
                </c:pt>
                <c:pt idx="13">
                  <c:v>3.49</c:v>
                </c:pt>
                <c:pt idx="14">
                  <c:v>3.49</c:v>
                </c:pt>
                <c:pt idx="15">
                  <c:v>3.49</c:v>
                </c:pt>
                <c:pt idx="16">
                  <c:v>3.5</c:v>
                </c:pt>
                <c:pt idx="17">
                  <c:v>3.5</c:v>
                </c:pt>
                <c:pt idx="18">
                  <c:v>3.5</c:v>
                </c:pt>
                <c:pt idx="19">
                  <c:v>3.5</c:v>
                </c:pt>
              </c:numCache>
            </c:numRef>
          </c:val>
          <c:smooth val="0"/>
          <c:extLst>
            <c:ext xmlns:c16="http://schemas.microsoft.com/office/drawing/2014/chart" uri="{C3380CC4-5D6E-409C-BE32-E72D297353CC}">
              <c16:uniqueId val="{0000000A-3E27-4642-B2A9-3DBFB81983DF}"/>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max val="7"/>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'Trend over time in LTV and LTI'!$R$31</c:f>
              <c:strCache>
                <c:ptCount val="1"/>
                <c:pt idx="0">
                  <c:v>LTV SSB P10</c:v>
                </c:pt>
              </c:strCache>
            </c:strRef>
          </c:tx>
          <c:spPr>
            <a:ln w="28575" cap="rnd">
              <a:solidFill>
                <a:srgbClr val="09506C"/>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LTI'!$R$32:$R$51</c:f>
              <c:numCache>
                <c:formatCode>0</c:formatCode>
                <c:ptCount val="20"/>
                <c:pt idx="0">
                  <c:v>19</c:v>
                </c:pt>
                <c:pt idx="1">
                  <c:v>20</c:v>
                </c:pt>
                <c:pt idx="2">
                  <c:v>20</c:v>
                </c:pt>
                <c:pt idx="3">
                  <c:v>19</c:v>
                </c:pt>
                <c:pt idx="4">
                  <c:v>22</c:v>
                </c:pt>
                <c:pt idx="5">
                  <c:v>20</c:v>
                </c:pt>
                <c:pt idx="6">
                  <c:v>20</c:v>
                </c:pt>
                <c:pt idx="7">
                  <c:v>23</c:v>
                </c:pt>
                <c:pt idx="8">
                  <c:v>24</c:v>
                </c:pt>
                <c:pt idx="9">
                  <c:v>30</c:v>
                </c:pt>
                <c:pt idx="10">
                  <c:v>31.56</c:v>
                </c:pt>
                <c:pt idx="11">
                  <c:v>33.92</c:v>
                </c:pt>
                <c:pt idx="12">
                  <c:v>34.090000000000003</c:v>
                </c:pt>
                <c:pt idx="13">
                  <c:v>34.950000000000003</c:v>
                </c:pt>
                <c:pt idx="14">
                  <c:v>35.9</c:v>
                </c:pt>
                <c:pt idx="15">
                  <c:v>35.69</c:v>
                </c:pt>
                <c:pt idx="16">
                  <c:v>35.840000000000003</c:v>
                </c:pt>
                <c:pt idx="17">
                  <c:v>35.56</c:v>
                </c:pt>
                <c:pt idx="18">
                  <c:v>34.380000000000003</c:v>
                </c:pt>
                <c:pt idx="19">
                  <c:v>33.33</c:v>
                </c:pt>
              </c:numCache>
            </c:numRef>
          </c:val>
          <c:smooth val="0"/>
          <c:extLst>
            <c:ext xmlns:c16="http://schemas.microsoft.com/office/drawing/2014/chart" uri="{C3380CC4-5D6E-409C-BE32-E72D297353CC}">
              <c16:uniqueId val="{00000000-A104-48FD-AEB4-7D28ED5B1D38}"/>
            </c:ext>
          </c:extLst>
        </c:ser>
        <c:ser>
          <c:idx val="1"/>
          <c:order val="1"/>
          <c:tx>
            <c:strRef>
              <c:f>'Trend over time in LTV and LTI'!$S$31</c:f>
              <c:strCache>
                <c:ptCount val="1"/>
                <c:pt idx="0">
                  <c:v>LTV SSB P25</c:v>
                </c:pt>
              </c:strCache>
            </c:strRef>
          </c:tx>
          <c:spPr>
            <a:ln w="28575" cap="rnd">
              <a:solidFill>
                <a:srgbClr val="7C477E"/>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LTI'!$S$32:$S$51</c:f>
              <c:numCache>
                <c:formatCode>0</c:formatCode>
                <c:ptCount val="20"/>
                <c:pt idx="0">
                  <c:v>36</c:v>
                </c:pt>
                <c:pt idx="1">
                  <c:v>38</c:v>
                </c:pt>
                <c:pt idx="2">
                  <c:v>37</c:v>
                </c:pt>
                <c:pt idx="3">
                  <c:v>36</c:v>
                </c:pt>
                <c:pt idx="4">
                  <c:v>40</c:v>
                </c:pt>
                <c:pt idx="5">
                  <c:v>38</c:v>
                </c:pt>
                <c:pt idx="6">
                  <c:v>43</c:v>
                </c:pt>
                <c:pt idx="7">
                  <c:v>45</c:v>
                </c:pt>
                <c:pt idx="8">
                  <c:v>46</c:v>
                </c:pt>
                <c:pt idx="9">
                  <c:v>47.62</c:v>
                </c:pt>
                <c:pt idx="10">
                  <c:v>49.69</c:v>
                </c:pt>
                <c:pt idx="11">
                  <c:v>50.78</c:v>
                </c:pt>
                <c:pt idx="12">
                  <c:v>50.38</c:v>
                </c:pt>
                <c:pt idx="13">
                  <c:v>51.67</c:v>
                </c:pt>
                <c:pt idx="14">
                  <c:v>52.19</c:v>
                </c:pt>
                <c:pt idx="15">
                  <c:v>50.85</c:v>
                </c:pt>
                <c:pt idx="16">
                  <c:v>51.09</c:v>
                </c:pt>
                <c:pt idx="17">
                  <c:v>50.63</c:v>
                </c:pt>
                <c:pt idx="18">
                  <c:v>49.37</c:v>
                </c:pt>
                <c:pt idx="19">
                  <c:v>48.26</c:v>
                </c:pt>
              </c:numCache>
            </c:numRef>
          </c:val>
          <c:smooth val="0"/>
          <c:extLst>
            <c:ext xmlns:c16="http://schemas.microsoft.com/office/drawing/2014/chart" uri="{C3380CC4-5D6E-409C-BE32-E72D297353CC}">
              <c16:uniqueId val="{00000005-A104-48FD-AEB4-7D28ED5B1D38}"/>
            </c:ext>
          </c:extLst>
        </c:ser>
        <c:ser>
          <c:idx val="2"/>
          <c:order val="2"/>
          <c:tx>
            <c:strRef>
              <c:f>'Trend over time in LTV and LTI'!$T$31</c:f>
              <c:strCache>
                <c:ptCount val="1"/>
                <c:pt idx="0">
                  <c:v>LTV SSB Median</c:v>
                </c:pt>
              </c:strCache>
            </c:strRef>
          </c:tx>
          <c:spPr>
            <a:ln w="28575" cap="rnd">
              <a:solidFill>
                <a:srgbClr val="0083A0"/>
              </a:solidFill>
              <a:prstDash val="dash"/>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LTI'!$T$32:$T$51</c:f>
              <c:numCache>
                <c:formatCode>0</c:formatCode>
                <c:ptCount val="20"/>
                <c:pt idx="0">
                  <c:v>59</c:v>
                </c:pt>
                <c:pt idx="1">
                  <c:v>62</c:v>
                </c:pt>
                <c:pt idx="2">
                  <c:v>60</c:v>
                </c:pt>
                <c:pt idx="3">
                  <c:v>60</c:v>
                </c:pt>
                <c:pt idx="4">
                  <c:v>66</c:v>
                </c:pt>
                <c:pt idx="5">
                  <c:v>63</c:v>
                </c:pt>
                <c:pt idx="6">
                  <c:v>70</c:v>
                </c:pt>
                <c:pt idx="7">
                  <c:v>70</c:v>
                </c:pt>
                <c:pt idx="8">
                  <c:v>70</c:v>
                </c:pt>
                <c:pt idx="9">
                  <c:v>67.28</c:v>
                </c:pt>
                <c:pt idx="10">
                  <c:v>69.400000000000006</c:v>
                </c:pt>
                <c:pt idx="11">
                  <c:v>70</c:v>
                </c:pt>
                <c:pt idx="12">
                  <c:v>69.239999999999995</c:v>
                </c:pt>
                <c:pt idx="13">
                  <c:v>70.13</c:v>
                </c:pt>
                <c:pt idx="14">
                  <c:v>70</c:v>
                </c:pt>
                <c:pt idx="15">
                  <c:v>68.14</c:v>
                </c:pt>
                <c:pt idx="16">
                  <c:v>68.180000000000007</c:v>
                </c:pt>
                <c:pt idx="17">
                  <c:v>67.56</c:v>
                </c:pt>
                <c:pt idx="18">
                  <c:v>66.599999999999994</c:v>
                </c:pt>
                <c:pt idx="19">
                  <c:v>65.22</c:v>
                </c:pt>
              </c:numCache>
            </c:numRef>
          </c:val>
          <c:smooth val="0"/>
          <c:extLst>
            <c:ext xmlns:c16="http://schemas.microsoft.com/office/drawing/2014/chart" uri="{C3380CC4-5D6E-409C-BE32-E72D297353CC}">
              <c16:uniqueId val="{00000006-A104-48FD-AEB4-7D28ED5B1D38}"/>
            </c:ext>
          </c:extLst>
        </c:ser>
        <c:ser>
          <c:idx val="3"/>
          <c:order val="3"/>
          <c:tx>
            <c:strRef>
              <c:f>'Trend over time in LTV and LTI'!$U$31</c:f>
              <c:strCache>
                <c:ptCount val="1"/>
                <c:pt idx="0">
                  <c:v>LTV SSB P75</c:v>
                </c:pt>
              </c:strCache>
            </c:strRef>
          </c:tx>
          <c:spPr>
            <a:ln w="28575" cap="rnd">
              <a:solidFill>
                <a:srgbClr val="5EC5C2"/>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LTI'!$U$32:$U$51</c:f>
              <c:numCache>
                <c:formatCode>0</c:formatCode>
                <c:ptCount val="20"/>
                <c:pt idx="0">
                  <c:v>80</c:v>
                </c:pt>
                <c:pt idx="1">
                  <c:v>81</c:v>
                </c:pt>
                <c:pt idx="2">
                  <c:v>80</c:v>
                </c:pt>
                <c:pt idx="3">
                  <c:v>82</c:v>
                </c:pt>
                <c:pt idx="4">
                  <c:v>86</c:v>
                </c:pt>
                <c:pt idx="5">
                  <c:v>84</c:v>
                </c:pt>
                <c:pt idx="6">
                  <c:v>87</c:v>
                </c:pt>
                <c:pt idx="7">
                  <c:v>86</c:v>
                </c:pt>
                <c:pt idx="8">
                  <c:v>85</c:v>
                </c:pt>
                <c:pt idx="9">
                  <c:v>79.849999999999994</c:v>
                </c:pt>
                <c:pt idx="10">
                  <c:v>80</c:v>
                </c:pt>
                <c:pt idx="11">
                  <c:v>80</c:v>
                </c:pt>
                <c:pt idx="12">
                  <c:v>80</c:v>
                </c:pt>
                <c:pt idx="13">
                  <c:v>80</c:v>
                </c:pt>
                <c:pt idx="14">
                  <c:v>80</c:v>
                </c:pt>
                <c:pt idx="15">
                  <c:v>79.48</c:v>
                </c:pt>
                <c:pt idx="16">
                  <c:v>79.900000000000006</c:v>
                </c:pt>
                <c:pt idx="17">
                  <c:v>80</c:v>
                </c:pt>
                <c:pt idx="18">
                  <c:v>80</c:v>
                </c:pt>
                <c:pt idx="19">
                  <c:v>80.06</c:v>
                </c:pt>
              </c:numCache>
            </c:numRef>
          </c:val>
          <c:smooth val="0"/>
          <c:extLst>
            <c:ext xmlns:c16="http://schemas.microsoft.com/office/drawing/2014/chart" uri="{C3380CC4-5D6E-409C-BE32-E72D297353CC}">
              <c16:uniqueId val="{00000007-A104-48FD-AEB4-7D28ED5B1D38}"/>
            </c:ext>
          </c:extLst>
        </c:ser>
        <c:ser>
          <c:idx val="4"/>
          <c:order val="4"/>
          <c:tx>
            <c:strRef>
              <c:f>'Trend over time in LTV and LTI'!$V$31</c:f>
              <c:strCache>
                <c:ptCount val="1"/>
                <c:pt idx="0">
                  <c:v>LTV SSB P90 </c:v>
                </c:pt>
              </c:strCache>
            </c:strRef>
          </c:tx>
          <c:spPr>
            <a:ln w="28575" cap="rnd">
              <a:solidFill>
                <a:srgbClr val="D12E7C"/>
              </a:solidFill>
              <a:round/>
            </a:ln>
            <a:effectLst/>
          </c:spPr>
          <c:marker>
            <c:symbol val="none"/>
          </c:marker>
          <c:cat>
            <c:numRef>
              <c:f>'Trend over time in LTV and LTI'!$B$32:$B$51</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'Trend over time in LTV and LTI'!$V$32:$V$51</c:f>
              <c:numCache>
                <c:formatCode>0</c:formatCode>
                <c:ptCount val="20"/>
                <c:pt idx="0">
                  <c:v>91</c:v>
                </c:pt>
                <c:pt idx="1">
                  <c:v>92</c:v>
                </c:pt>
                <c:pt idx="2">
                  <c:v>92</c:v>
                </c:pt>
                <c:pt idx="3">
                  <c:v>92</c:v>
                </c:pt>
                <c:pt idx="4">
                  <c:v>92</c:v>
                </c:pt>
                <c:pt idx="5">
                  <c:v>92</c:v>
                </c:pt>
                <c:pt idx="6">
                  <c:v>92</c:v>
                </c:pt>
                <c:pt idx="7">
                  <c:v>92</c:v>
                </c:pt>
                <c:pt idx="8">
                  <c:v>90</c:v>
                </c:pt>
                <c:pt idx="9">
                  <c:v>84.51</c:v>
                </c:pt>
                <c:pt idx="10">
                  <c:v>81.099999999999994</c:v>
                </c:pt>
                <c:pt idx="11">
                  <c:v>85</c:v>
                </c:pt>
                <c:pt idx="12">
                  <c:v>82.7</c:v>
                </c:pt>
                <c:pt idx="13">
                  <c:v>84.19</c:v>
                </c:pt>
                <c:pt idx="14">
                  <c:v>80</c:v>
                </c:pt>
                <c:pt idx="15">
                  <c:v>80</c:v>
                </c:pt>
                <c:pt idx="16">
                  <c:v>80</c:v>
                </c:pt>
                <c:pt idx="17">
                  <c:v>89.86</c:v>
                </c:pt>
                <c:pt idx="18">
                  <c:v>90</c:v>
                </c:pt>
                <c:pt idx="19">
                  <c:v>90</c:v>
                </c:pt>
              </c:numCache>
            </c:numRef>
          </c:val>
          <c:smooth val="0"/>
          <c:extLst>
            <c:ext xmlns:c16="http://schemas.microsoft.com/office/drawing/2014/chart" uri="{C3380CC4-5D6E-409C-BE32-E72D297353CC}">
              <c16:uniqueId val="{00000008-A104-48FD-AEB4-7D28ED5B1D38}"/>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max val="12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majorUnit val="20"/>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304800</xdr:colOff>
      <xdr:row>3</xdr:row>
      <xdr:rowOff>97671</xdr:rowOff>
    </xdr:from>
    <xdr:to>
      <xdr:col>8</xdr:col>
      <xdr:colOff>457200</xdr:colOff>
      <xdr:row>23</xdr:row>
      <xdr:rowOff>165015</xdr:rowOff>
    </xdr:to>
    <xdr:pic>
      <xdr:nvPicPr>
        <xdr:cNvPr id="4" name="Picture 3">
          <a:extLst>
            <a:ext uri="{FF2B5EF4-FFF2-40B4-BE49-F238E27FC236}">
              <a16:creationId xmlns:a16="http://schemas.microsoft.com/office/drawing/2014/main" id="{1EE34A4B-081E-AC92-7444-C8B062994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 y="659646"/>
          <a:ext cx="4838700" cy="37058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289359</xdr:colOff>
      <xdr:row>5</xdr:row>
      <xdr:rowOff>76200</xdr:rowOff>
    </xdr:from>
    <xdr:to>
      <xdr:col>21</xdr:col>
      <xdr:colOff>685800</xdr:colOff>
      <xdr:row>22</xdr:row>
      <xdr:rowOff>163093</xdr:rowOff>
    </xdr:to>
    <xdr:pic>
      <xdr:nvPicPr>
        <xdr:cNvPr id="5" name="Picture 4">
          <a:extLst>
            <a:ext uri="{FF2B5EF4-FFF2-40B4-BE49-F238E27FC236}">
              <a16:creationId xmlns:a16="http://schemas.microsoft.com/office/drawing/2014/main" id="{3D1D6C00-F106-61C9-5C91-2E4F0B237EC7}"/>
            </a:ext>
          </a:extLst>
        </xdr:cNvPr>
        <xdr:cNvPicPr>
          <a:picLocks noChangeAspect="1"/>
        </xdr:cNvPicPr>
      </xdr:nvPicPr>
      <xdr:blipFill>
        <a:blip xmlns:r="http://schemas.openxmlformats.org/officeDocument/2006/relationships" r:embed="rId2"/>
        <a:stretch>
          <a:fillRect/>
        </a:stretch>
      </xdr:blipFill>
      <xdr:spPr>
        <a:xfrm>
          <a:off x="12176559" y="1009650"/>
          <a:ext cx="4644591" cy="31729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350131</xdr:colOff>
      <xdr:row>4</xdr:row>
      <xdr:rowOff>47624</xdr:rowOff>
    </xdr:from>
    <xdr:to>
      <xdr:col>8</xdr:col>
      <xdr:colOff>257174</xdr:colOff>
      <xdr:row>23</xdr:row>
      <xdr:rowOff>50430</xdr:rowOff>
    </xdr:to>
    <xdr:pic>
      <xdr:nvPicPr>
        <xdr:cNvPr id="4" name="Picture 3">
          <a:extLst>
            <a:ext uri="{FF2B5EF4-FFF2-40B4-BE49-F238E27FC236}">
              <a16:creationId xmlns:a16="http://schemas.microsoft.com/office/drawing/2014/main" id="{74CFF1D2-79FA-287E-A9AD-C37146EFE207}"/>
            </a:ext>
          </a:extLst>
        </xdr:cNvPr>
        <xdr:cNvPicPr>
          <a:picLocks noChangeAspect="1"/>
        </xdr:cNvPicPr>
      </xdr:nvPicPr>
      <xdr:blipFill>
        <a:blip xmlns:r="http://schemas.openxmlformats.org/officeDocument/2006/relationships" r:embed="rId1"/>
        <a:stretch>
          <a:fillRect/>
        </a:stretch>
      </xdr:blipFill>
      <xdr:spPr>
        <a:xfrm>
          <a:off x="893056" y="800099"/>
          <a:ext cx="4593343" cy="3450856"/>
        </a:xfrm>
        <a:prstGeom prst="rect">
          <a:avLst/>
        </a:prstGeom>
      </xdr:spPr>
    </xdr:pic>
    <xdr:clientData/>
  </xdr:twoCellAnchor>
  <xdr:twoCellAnchor editAs="oneCell">
    <xdr:from>
      <xdr:col>16</xdr:col>
      <xdr:colOff>238125</xdr:colOff>
      <xdr:row>4</xdr:row>
      <xdr:rowOff>49705</xdr:rowOff>
    </xdr:from>
    <xdr:to>
      <xdr:col>21</xdr:col>
      <xdr:colOff>676275</xdr:colOff>
      <xdr:row>21</xdr:row>
      <xdr:rowOff>173369</xdr:rowOff>
    </xdr:to>
    <xdr:pic>
      <xdr:nvPicPr>
        <xdr:cNvPr id="5" name="Picture 4">
          <a:extLst>
            <a:ext uri="{FF2B5EF4-FFF2-40B4-BE49-F238E27FC236}">
              <a16:creationId xmlns:a16="http://schemas.microsoft.com/office/drawing/2014/main" id="{8266918E-0927-6420-F285-BED633B6B643}"/>
            </a:ext>
          </a:extLst>
        </xdr:cNvPr>
        <xdr:cNvPicPr>
          <a:picLocks noChangeAspect="1"/>
        </xdr:cNvPicPr>
      </xdr:nvPicPr>
      <xdr:blipFill>
        <a:blip xmlns:r="http://schemas.openxmlformats.org/officeDocument/2006/relationships" r:embed="rId2"/>
        <a:stretch>
          <a:fillRect/>
        </a:stretch>
      </xdr:blipFill>
      <xdr:spPr>
        <a:xfrm>
          <a:off x="12125325" y="802180"/>
          <a:ext cx="4686300" cy="32002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229870</xdr:colOff>
      <xdr:row>3</xdr:row>
      <xdr:rowOff>6349</xdr:rowOff>
    </xdr:from>
    <xdr:to>
      <xdr:col>6</xdr:col>
      <xdr:colOff>866775</xdr:colOff>
      <xdr:row>23</xdr:row>
      <xdr:rowOff>123824</xdr:rowOff>
    </xdr:to>
    <xdr:graphicFrame macro="">
      <xdr:nvGraphicFramePr>
        <xdr:cNvPr id="15" name="Chart 14">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139700</xdr:colOff>
      <xdr:row>3</xdr:row>
      <xdr:rowOff>37464</xdr:rowOff>
    </xdr:from>
    <xdr:to>
      <xdr:col>13</xdr:col>
      <xdr:colOff>790575</xdr:colOff>
      <xdr:row>23</xdr:row>
      <xdr:rowOff>114299</xdr:rowOff>
    </xdr:to>
    <xdr:graphicFrame macro="">
      <xdr:nvGraphicFramePr>
        <xdr:cNvPr id="17" name="Chart 16">
          <a:extLst>
            <a:ext uri="{FF2B5EF4-FFF2-40B4-BE49-F238E27FC236}">
              <a16:creationId xmlns:a16="http://schemas.microsoft.com/office/drawing/2014/main" id="{00000000-0008-0000-09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196849</xdr:colOff>
      <xdr:row>3</xdr:row>
      <xdr:rowOff>25399</xdr:rowOff>
    </xdr:from>
    <xdr:to>
      <xdr:col>20</xdr:col>
      <xdr:colOff>847724</xdr:colOff>
      <xdr:row>23</xdr:row>
      <xdr:rowOff>66674</xdr:rowOff>
    </xdr:to>
    <xdr:graphicFrame macro="">
      <xdr:nvGraphicFramePr>
        <xdr:cNvPr id="19" name="Chart 18">
          <a:extLst>
            <a:ext uri="{FF2B5EF4-FFF2-40B4-BE49-F238E27FC236}">
              <a16:creationId xmlns:a16="http://schemas.microsoft.com/office/drawing/2014/main" id="{00000000-0008-0000-09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123191</xdr:colOff>
      <xdr:row>3</xdr:row>
      <xdr:rowOff>19049</xdr:rowOff>
    </xdr:from>
    <xdr:to>
      <xdr:col>27</xdr:col>
      <xdr:colOff>638176</xdr:colOff>
      <xdr:row>23</xdr:row>
      <xdr:rowOff>104774</xdr:rowOff>
    </xdr:to>
    <xdr:graphicFrame macro="">
      <xdr:nvGraphicFramePr>
        <xdr:cNvPr id="21" name="Chart 20">
          <a:extLst>
            <a:ext uri="{FF2B5EF4-FFF2-40B4-BE49-F238E27FC236}">
              <a16:creationId xmlns:a16="http://schemas.microsoft.com/office/drawing/2014/main" id="{00000000-0008-0000-09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333375</xdr:colOff>
      <xdr:row>5</xdr:row>
      <xdr:rowOff>13053</xdr:rowOff>
    </xdr:from>
    <xdr:to>
      <xdr:col>8</xdr:col>
      <xdr:colOff>76200</xdr:colOff>
      <xdr:row>23</xdr:row>
      <xdr:rowOff>105953</xdr:rowOff>
    </xdr:to>
    <xdr:pic>
      <xdr:nvPicPr>
        <xdr:cNvPr id="5" name="Picture 4">
          <a:extLst>
            <a:ext uri="{FF2B5EF4-FFF2-40B4-BE49-F238E27FC236}">
              <a16:creationId xmlns:a16="http://schemas.microsoft.com/office/drawing/2014/main" id="{E227E276-832B-93ED-8780-2F8B291F1F31}"/>
            </a:ext>
          </a:extLst>
        </xdr:cNvPr>
        <xdr:cNvPicPr>
          <a:picLocks noChangeAspect="1"/>
        </xdr:cNvPicPr>
      </xdr:nvPicPr>
      <xdr:blipFill>
        <a:blip xmlns:r="http://schemas.openxmlformats.org/officeDocument/2006/relationships" r:embed="rId1"/>
        <a:stretch>
          <a:fillRect/>
        </a:stretch>
      </xdr:blipFill>
      <xdr:spPr>
        <a:xfrm>
          <a:off x="1114425" y="889353"/>
          <a:ext cx="5210175" cy="3350450"/>
        </a:xfrm>
        <a:prstGeom prst="rect">
          <a:avLst/>
        </a:prstGeom>
      </xdr:spPr>
    </xdr:pic>
    <xdr:clientData/>
  </xdr:twoCellAnchor>
  <xdr:twoCellAnchor editAs="oneCell">
    <xdr:from>
      <xdr:col>9</xdr:col>
      <xdr:colOff>685800</xdr:colOff>
      <xdr:row>5</xdr:row>
      <xdr:rowOff>42357</xdr:rowOff>
    </xdr:from>
    <xdr:to>
      <xdr:col>15</xdr:col>
      <xdr:colOff>716016</xdr:colOff>
      <xdr:row>23</xdr:row>
      <xdr:rowOff>65364</xdr:rowOff>
    </xdr:to>
    <xdr:pic>
      <xdr:nvPicPr>
        <xdr:cNvPr id="7" name="Picture 6">
          <a:extLst>
            <a:ext uri="{FF2B5EF4-FFF2-40B4-BE49-F238E27FC236}">
              <a16:creationId xmlns:a16="http://schemas.microsoft.com/office/drawing/2014/main" id="{019586F9-1E2A-BFF7-BB0F-EDA2B2F073B3}"/>
            </a:ext>
          </a:extLst>
        </xdr:cNvPr>
        <xdr:cNvPicPr>
          <a:picLocks noChangeAspect="1"/>
        </xdr:cNvPicPr>
      </xdr:nvPicPr>
      <xdr:blipFill>
        <a:blip xmlns:r="http://schemas.openxmlformats.org/officeDocument/2006/relationships" r:embed="rId2"/>
        <a:stretch>
          <a:fillRect/>
        </a:stretch>
      </xdr:blipFill>
      <xdr:spPr>
        <a:xfrm>
          <a:off x="7715250" y="918657"/>
          <a:ext cx="4716516" cy="3280557"/>
        </a:xfrm>
        <a:prstGeom prst="rect">
          <a:avLst/>
        </a:prstGeom>
      </xdr:spPr>
    </xdr:pic>
    <xdr:clientData/>
  </xdr:twoCellAnchor>
</xdr:wsDr>
</file>

<file path=xl/theme/theme1.xml><?xml version="1.0" encoding="utf-8"?>
<a:theme xmlns:a="http://schemas.openxmlformats.org/drawingml/2006/main" name="CB_Numbered_Presentation">
  <a:themeElements>
    <a:clrScheme name="CentralBank_MasterColours">
      <a:dk1>
        <a:sysClr val="windowText" lastClr="000000"/>
      </a:dk1>
      <a:lt1>
        <a:sysClr val="window" lastClr="FFFFFF"/>
      </a:lt1>
      <a:dk2>
        <a:srgbClr val="7C477E"/>
      </a:dk2>
      <a:lt2>
        <a:srgbClr val="09506C"/>
      </a:lt2>
      <a:accent1>
        <a:srgbClr val="0083A0"/>
      </a:accent1>
      <a:accent2>
        <a:srgbClr val="5EC5C2"/>
      </a:accent2>
      <a:accent3>
        <a:srgbClr val="D4E388"/>
      </a:accent3>
      <a:accent4>
        <a:srgbClr val="007DC3"/>
      </a:accent4>
      <a:accent5>
        <a:srgbClr val="D12E7C"/>
      </a:accent5>
      <a:accent6>
        <a:srgbClr val="F57E20"/>
      </a:accent6>
      <a:hlink>
        <a:srgbClr val="007DC3"/>
      </a:hlink>
      <a:folHlink>
        <a:srgbClr val="7C477E"/>
      </a:folHlink>
    </a:clrScheme>
    <a:fontScheme name="CentralBank_MasterFonts">
      <a:majorFont>
        <a:latin typeface="Lato"/>
        <a:ea typeface=""/>
        <a:cs typeface=""/>
      </a:majorFont>
      <a:minorFont>
        <a:latin typeface="Lato"/>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CB_Numbered_Presentation" id="{CCE3F5F9-378C-4649-9581-9FE61E0091FA}" vid="{2F170110-677F-4DAF-80C9-B8D3C353D0A1}"/>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centralbank.ie/financial-system/financial-stability/macro-prudential-policy/mortgage-measures/mortgage-measures-framework-review-public-engagement" TargetMode="Externa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pageSetUpPr autoPageBreaks="0"/>
  </sheetPr>
  <dimension ref="B1:P16"/>
  <sheetViews>
    <sheetView tabSelected="1" zoomScaleNormal="100" workbookViewId="0"/>
  </sheetViews>
  <sheetFormatPr defaultColWidth="9.07421875" defaultRowHeight="11.5" x14ac:dyDescent="0.25"/>
  <cols>
    <col min="1" max="1" width="6.23046875" style="47" customWidth="1"/>
    <col min="2" max="2" width="9" style="47" customWidth="1"/>
    <col min="3" max="3" width="9.07421875" style="47" customWidth="1"/>
    <col min="4" max="16384" width="9.07421875" style="47"/>
  </cols>
  <sheetData>
    <row r="1" spans="2:16" x14ac:dyDescent="0.25">
      <c r="B1" s="131"/>
      <c r="C1" s="131"/>
      <c r="D1" s="131"/>
      <c r="E1" s="131"/>
      <c r="F1" s="131"/>
      <c r="G1" s="131"/>
      <c r="H1" s="131"/>
      <c r="I1" s="131"/>
      <c r="J1" s="131"/>
      <c r="K1" s="131"/>
      <c r="L1" s="131"/>
      <c r="M1" s="131"/>
      <c r="N1" s="131"/>
      <c r="O1" s="131"/>
      <c r="P1" s="131"/>
    </row>
    <row r="2" spans="2:16" ht="12" thickBot="1" x14ac:dyDescent="0.3">
      <c r="B2" s="132"/>
      <c r="C2" s="132"/>
      <c r="D2" s="132"/>
      <c r="E2" s="132"/>
      <c r="F2" s="132"/>
      <c r="G2" s="132"/>
      <c r="H2" s="132"/>
      <c r="I2" s="132"/>
      <c r="J2" s="132"/>
      <c r="K2" s="132"/>
      <c r="L2" s="132"/>
      <c r="M2" s="132"/>
      <c r="N2" s="132"/>
      <c r="O2" s="132"/>
      <c r="P2" s="132"/>
    </row>
    <row r="3" spans="2:16" ht="14.5" thickBot="1" x14ac:dyDescent="0.35">
      <c r="B3" s="142" t="s">
        <v>188</v>
      </c>
      <c r="C3" s="143"/>
      <c r="D3" s="143"/>
      <c r="E3" s="143"/>
      <c r="F3" s="143"/>
      <c r="G3" s="143"/>
      <c r="H3" s="143"/>
      <c r="I3" s="143"/>
      <c r="J3" s="143"/>
      <c r="K3" s="143"/>
      <c r="L3" s="143"/>
      <c r="M3" s="143"/>
      <c r="N3" s="143"/>
      <c r="O3" s="143"/>
      <c r="P3" s="144"/>
    </row>
    <row r="4" spans="2:16" ht="36" customHeight="1" x14ac:dyDescent="0.25">
      <c r="B4" s="145" t="s">
        <v>185</v>
      </c>
      <c r="C4" s="146"/>
      <c r="D4" s="146"/>
      <c r="E4" s="146"/>
      <c r="F4" s="146"/>
      <c r="G4" s="146"/>
      <c r="H4" s="146"/>
      <c r="I4" s="146"/>
      <c r="J4" s="146"/>
      <c r="K4" s="146"/>
      <c r="L4" s="146"/>
      <c r="M4" s="146"/>
      <c r="N4" s="146"/>
      <c r="O4" s="146"/>
      <c r="P4" s="147"/>
    </row>
    <row r="5" spans="2:16" ht="36" customHeight="1" x14ac:dyDescent="0.25">
      <c r="B5" s="139" t="s">
        <v>186</v>
      </c>
      <c r="C5" s="140"/>
      <c r="D5" s="140"/>
      <c r="E5" s="140"/>
      <c r="F5" s="140"/>
      <c r="G5" s="140"/>
      <c r="H5" s="140"/>
      <c r="I5" s="140"/>
      <c r="J5" s="140"/>
      <c r="K5" s="140"/>
      <c r="L5" s="140"/>
      <c r="M5" s="140"/>
      <c r="N5" s="140"/>
      <c r="O5" s="140"/>
      <c r="P5" s="141"/>
    </row>
    <row r="6" spans="2:16" ht="36" customHeight="1" x14ac:dyDescent="0.25">
      <c r="B6" s="139" t="s">
        <v>187</v>
      </c>
      <c r="C6" s="140"/>
      <c r="D6" s="140"/>
      <c r="E6" s="140"/>
      <c r="F6" s="140"/>
      <c r="G6" s="140"/>
      <c r="H6" s="140"/>
      <c r="I6" s="140"/>
      <c r="J6" s="140"/>
      <c r="K6" s="140"/>
      <c r="L6" s="140"/>
      <c r="M6" s="140"/>
      <c r="N6" s="140"/>
      <c r="O6" s="140"/>
      <c r="P6" s="141"/>
    </row>
    <row r="7" spans="2:16" ht="36" customHeight="1" x14ac:dyDescent="0.25">
      <c r="B7" s="133" t="s">
        <v>189</v>
      </c>
      <c r="C7" s="134"/>
      <c r="D7" s="134"/>
      <c r="E7" s="134"/>
      <c r="F7" s="134"/>
      <c r="G7" s="134"/>
      <c r="H7" s="134"/>
      <c r="I7" s="134"/>
      <c r="J7" s="134"/>
      <c r="K7" s="134"/>
      <c r="L7" s="134"/>
      <c r="M7" s="134"/>
      <c r="N7" s="134"/>
      <c r="O7" s="134"/>
      <c r="P7" s="135"/>
    </row>
    <row r="8" spans="2:16" ht="36" customHeight="1" x14ac:dyDescent="0.25">
      <c r="B8" s="139" t="s">
        <v>190</v>
      </c>
      <c r="C8" s="140"/>
      <c r="D8" s="140"/>
      <c r="E8" s="140"/>
      <c r="F8" s="140"/>
      <c r="G8" s="140"/>
      <c r="H8" s="140"/>
      <c r="I8" s="140"/>
      <c r="J8" s="140"/>
      <c r="K8" s="140"/>
      <c r="L8" s="140"/>
      <c r="M8" s="140"/>
      <c r="N8" s="140"/>
      <c r="O8" s="140"/>
      <c r="P8" s="141"/>
    </row>
    <row r="9" spans="2:16" ht="36" customHeight="1" x14ac:dyDescent="0.25">
      <c r="B9" s="139" t="s">
        <v>199</v>
      </c>
      <c r="C9" s="140"/>
      <c r="D9" s="140"/>
      <c r="E9" s="140"/>
      <c r="F9" s="140"/>
      <c r="G9" s="140"/>
      <c r="H9" s="140"/>
      <c r="I9" s="140"/>
      <c r="J9" s="140"/>
      <c r="K9" s="140"/>
      <c r="L9" s="140"/>
      <c r="M9" s="140"/>
      <c r="N9" s="140"/>
      <c r="O9" s="140"/>
      <c r="P9" s="141"/>
    </row>
    <row r="10" spans="2:16" ht="36" customHeight="1" x14ac:dyDescent="0.25">
      <c r="B10" s="133" t="s">
        <v>197</v>
      </c>
      <c r="C10" s="134"/>
      <c r="D10" s="134"/>
      <c r="E10" s="134"/>
      <c r="F10" s="134"/>
      <c r="G10" s="134"/>
      <c r="H10" s="134"/>
      <c r="I10" s="134"/>
      <c r="J10" s="134"/>
      <c r="K10" s="134"/>
      <c r="L10" s="134"/>
      <c r="M10" s="134"/>
      <c r="N10" s="134"/>
      <c r="O10" s="134"/>
      <c r="P10" s="135"/>
    </row>
    <row r="11" spans="2:16" ht="36" customHeight="1" x14ac:dyDescent="0.25">
      <c r="B11" s="133" t="s">
        <v>167</v>
      </c>
      <c r="C11" s="134"/>
      <c r="D11" s="134"/>
      <c r="E11" s="134"/>
      <c r="F11" s="134"/>
      <c r="G11" s="134"/>
      <c r="H11" s="134"/>
      <c r="I11" s="134"/>
      <c r="J11" s="134"/>
      <c r="K11" s="134"/>
      <c r="L11" s="134"/>
      <c r="M11" s="134"/>
      <c r="N11" s="134"/>
      <c r="O11" s="134"/>
      <c r="P11" s="135"/>
    </row>
    <row r="12" spans="2:16" ht="36" customHeight="1" x14ac:dyDescent="0.25">
      <c r="B12" s="133" t="s">
        <v>168</v>
      </c>
      <c r="C12" s="134"/>
      <c r="D12" s="134"/>
      <c r="E12" s="134"/>
      <c r="F12" s="134"/>
      <c r="G12" s="134"/>
      <c r="H12" s="134"/>
      <c r="I12" s="134"/>
      <c r="J12" s="134"/>
      <c r="K12" s="134"/>
      <c r="L12" s="134"/>
      <c r="M12" s="134"/>
      <c r="N12" s="134"/>
      <c r="O12" s="134"/>
      <c r="P12" s="135"/>
    </row>
    <row r="13" spans="2:16" ht="36" customHeight="1" x14ac:dyDescent="0.25">
      <c r="B13" s="133" t="s">
        <v>170</v>
      </c>
      <c r="C13" s="134"/>
      <c r="D13" s="134"/>
      <c r="E13" s="134"/>
      <c r="F13" s="134"/>
      <c r="G13" s="134"/>
      <c r="H13" s="134"/>
      <c r="I13" s="134"/>
      <c r="J13" s="134"/>
      <c r="K13" s="134"/>
      <c r="L13" s="134"/>
      <c r="M13" s="134"/>
      <c r="N13" s="134"/>
      <c r="O13" s="134"/>
      <c r="P13" s="135"/>
    </row>
    <row r="14" spans="2:16" ht="33" customHeight="1" x14ac:dyDescent="0.25">
      <c r="B14" s="133" t="s">
        <v>200</v>
      </c>
      <c r="C14" s="134"/>
      <c r="D14" s="134"/>
      <c r="E14" s="134"/>
      <c r="F14" s="134"/>
      <c r="G14" s="134"/>
      <c r="H14" s="134"/>
      <c r="I14" s="134"/>
      <c r="J14" s="134"/>
      <c r="K14" s="134"/>
      <c r="L14" s="134"/>
      <c r="M14" s="134"/>
      <c r="N14" s="134"/>
      <c r="O14" s="134"/>
      <c r="P14" s="135"/>
    </row>
    <row r="15" spans="2:16" ht="30.65" customHeight="1" x14ac:dyDescent="0.25">
      <c r="B15" s="133" t="s">
        <v>198</v>
      </c>
      <c r="C15" s="134"/>
      <c r="D15" s="134"/>
      <c r="E15" s="134"/>
      <c r="F15" s="134"/>
      <c r="G15" s="134"/>
      <c r="H15" s="134"/>
      <c r="I15" s="134"/>
      <c r="J15" s="134"/>
      <c r="K15" s="134"/>
      <c r="L15" s="134"/>
      <c r="M15" s="134"/>
      <c r="N15" s="134"/>
      <c r="O15" s="134"/>
      <c r="P15" s="135"/>
    </row>
    <row r="16" spans="2:16" ht="33.65" customHeight="1" thickBot="1" x14ac:dyDescent="0.3">
      <c r="B16" s="136" t="s">
        <v>169</v>
      </c>
      <c r="C16" s="137"/>
      <c r="D16" s="137"/>
      <c r="E16" s="137"/>
      <c r="F16" s="137"/>
      <c r="G16" s="137"/>
      <c r="H16" s="137"/>
      <c r="I16" s="137"/>
      <c r="J16" s="137"/>
      <c r="K16" s="137"/>
      <c r="L16" s="137"/>
      <c r="M16" s="137"/>
      <c r="N16" s="137"/>
      <c r="O16" s="137"/>
      <c r="P16" s="138"/>
    </row>
  </sheetData>
  <customSheetViews>
    <customSheetView guid="{41816220-B35C-45A9-9EE2-EC676D322318}" printArea="1" topLeftCell="A10">
      <selection activeCell="B16" sqref="B16:P16"/>
      <pageMargins left="0.7" right="0.7" top="0.75" bottom="0.75" header="0.3" footer="0.3"/>
      <pageSetup paperSize="9" orientation="landscape"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5">
    <mergeCell ref="B1:P2"/>
    <mergeCell ref="B14:P14"/>
    <mergeCell ref="B15:P15"/>
    <mergeCell ref="B16:P16"/>
    <mergeCell ref="B12:P12"/>
    <mergeCell ref="B13:P13"/>
    <mergeCell ref="B9:P9"/>
    <mergeCell ref="B3:P3"/>
    <mergeCell ref="B11:P11"/>
    <mergeCell ref="B4:P4"/>
    <mergeCell ref="B5:P5"/>
    <mergeCell ref="B6:P6"/>
    <mergeCell ref="B7:P7"/>
    <mergeCell ref="B8:P8"/>
    <mergeCell ref="B10:P10"/>
  </mergeCells>
  <pageMargins left="0.7" right="0.7" top="0.75" bottom="0.75" header="0.3" footer="0.3"/>
  <pageSetup paperSize="9" orientation="landscape"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pageSetUpPr autoPageBreaks="0"/>
  </sheetPr>
  <dimension ref="B2:D26"/>
  <sheetViews>
    <sheetView workbookViewId="0"/>
  </sheetViews>
  <sheetFormatPr defaultColWidth="9.07421875" defaultRowHeight="14" x14ac:dyDescent="0.3"/>
  <cols>
    <col min="1" max="1" width="6.23046875" style="3" customWidth="1"/>
    <col min="2" max="2" width="30.765625" style="3" customWidth="1"/>
    <col min="3" max="3" width="20" style="3" customWidth="1"/>
    <col min="4" max="4" width="45.07421875" style="3" customWidth="1"/>
    <col min="5" max="16384" width="9.07421875" style="3"/>
  </cols>
  <sheetData>
    <row r="2" spans="2:4" ht="14.5" thickBot="1" x14ac:dyDescent="0.35"/>
    <row r="3" spans="2:4" ht="14.5" thickBot="1" x14ac:dyDescent="0.35">
      <c r="B3" s="148" t="s">
        <v>0</v>
      </c>
      <c r="C3" s="149"/>
      <c r="D3" s="150"/>
    </row>
    <row r="4" spans="2:4" ht="14.5" thickBot="1" x14ac:dyDescent="0.35">
      <c r="B4" s="4"/>
      <c r="C4" s="5"/>
      <c r="D4" s="6"/>
    </row>
    <row r="5" spans="2:4" ht="17.149999999999999" customHeight="1" thickBot="1" x14ac:dyDescent="0.35">
      <c r="B5" s="151" t="s">
        <v>148</v>
      </c>
      <c r="C5" s="152"/>
      <c r="D5" s="56" t="s">
        <v>1</v>
      </c>
    </row>
    <row r="6" spans="2:4" x14ac:dyDescent="0.3">
      <c r="B6" s="57" t="s">
        <v>141</v>
      </c>
      <c r="C6" s="58">
        <v>0.9</v>
      </c>
      <c r="D6" s="159" t="s">
        <v>144</v>
      </c>
    </row>
    <row r="7" spans="2:4" x14ac:dyDescent="0.3">
      <c r="B7" s="60"/>
      <c r="C7" s="2"/>
      <c r="D7" s="160"/>
    </row>
    <row r="8" spans="2:4" x14ac:dyDescent="0.3">
      <c r="B8" s="60" t="s">
        <v>142</v>
      </c>
      <c r="C8" s="62" t="s">
        <v>146</v>
      </c>
      <c r="D8" s="160"/>
    </row>
    <row r="9" spans="2:4" ht="14.5" thickBot="1" x14ac:dyDescent="0.35">
      <c r="B9" s="63"/>
      <c r="C9" s="63"/>
      <c r="D9" s="64"/>
    </row>
    <row r="10" spans="2:4" ht="14.5" thickBot="1" x14ac:dyDescent="0.35">
      <c r="B10" s="153" t="s">
        <v>149</v>
      </c>
      <c r="C10" s="154"/>
      <c r="D10" s="65" t="s">
        <v>1</v>
      </c>
    </row>
    <row r="11" spans="2:4" x14ac:dyDescent="0.3">
      <c r="B11" s="57" t="s">
        <v>143</v>
      </c>
      <c r="C11" s="58">
        <v>0.9</v>
      </c>
      <c r="D11" s="159" t="s">
        <v>147</v>
      </c>
    </row>
    <row r="12" spans="2:4" x14ac:dyDescent="0.3">
      <c r="B12" s="60"/>
      <c r="C12" s="60"/>
      <c r="D12" s="160"/>
    </row>
    <row r="13" spans="2:4" x14ac:dyDescent="0.3">
      <c r="B13" s="60" t="s">
        <v>142</v>
      </c>
      <c r="C13" s="2" t="s">
        <v>145</v>
      </c>
      <c r="D13" s="160"/>
    </row>
    <row r="14" spans="2:4" ht="14.5" thickBot="1" x14ac:dyDescent="0.35">
      <c r="B14" s="60"/>
      <c r="C14" s="2"/>
      <c r="D14" s="61"/>
    </row>
    <row r="15" spans="2:4" ht="14.5" thickBot="1" x14ac:dyDescent="0.35">
      <c r="B15" s="153" t="s">
        <v>150</v>
      </c>
      <c r="C15" s="154"/>
      <c r="D15" s="65" t="s">
        <v>1</v>
      </c>
    </row>
    <row r="16" spans="2:4" x14ac:dyDescent="0.3">
      <c r="B16" s="57" t="s">
        <v>143</v>
      </c>
      <c r="C16" s="58">
        <v>0.7</v>
      </c>
      <c r="D16" s="59" t="s">
        <v>151</v>
      </c>
    </row>
    <row r="17" spans="2:4" ht="14.5" thickBot="1" x14ac:dyDescent="0.35">
      <c r="B17" s="63"/>
      <c r="C17" s="63"/>
      <c r="D17" s="64"/>
    </row>
    <row r="18" spans="2:4" ht="14.5" thickBot="1" x14ac:dyDescent="0.35">
      <c r="B18" s="153" t="s">
        <v>2</v>
      </c>
      <c r="C18" s="154"/>
      <c r="D18" s="155"/>
    </row>
    <row r="19" spans="2:4" x14ac:dyDescent="0.3">
      <c r="B19" s="57" t="s">
        <v>3</v>
      </c>
      <c r="C19" s="57"/>
      <c r="D19" s="57" t="s">
        <v>4</v>
      </c>
    </row>
    <row r="20" spans="2:4" x14ac:dyDescent="0.3">
      <c r="B20" s="60"/>
      <c r="C20" s="60"/>
      <c r="D20" s="60"/>
    </row>
    <row r="21" spans="2:4" x14ac:dyDescent="0.3">
      <c r="B21" s="60" t="s">
        <v>5</v>
      </c>
      <c r="C21" s="60"/>
      <c r="D21" s="60" t="s">
        <v>136</v>
      </c>
    </row>
    <row r="22" spans="2:4" x14ac:dyDescent="0.3">
      <c r="B22" s="60"/>
      <c r="C22" s="60"/>
      <c r="D22" s="60" t="s">
        <v>164</v>
      </c>
    </row>
    <row r="23" spans="2:4" x14ac:dyDescent="0.3">
      <c r="B23" s="60"/>
      <c r="C23" s="60"/>
      <c r="D23" s="60"/>
    </row>
    <row r="24" spans="2:4" x14ac:dyDescent="0.3">
      <c r="B24" s="60" t="s">
        <v>6</v>
      </c>
      <c r="C24" s="60"/>
      <c r="D24" s="60" t="s">
        <v>125</v>
      </c>
    </row>
    <row r="25" spans="2:4" ht="14.5" thickBot="1" x14ac:dyDescent="0.35">
      <c r="B25" s="63"/>
      <c r="C25" s="63"/>
      <c r="D25" s="63" t="s">
        <v>124</v>
      </c>
    </row>
    <row r="26" spans="2:4" ht="16.5" customHeight="1" thickBot="1" x14ac:dyDescent="0.35">
      <c r="B26" s="156" t="s">
        <v>152</v>
      </c>
      <c r="C26" s="157"/>
      <c r="D26" s="158"/>
    </row>
  </sheetData>
  <customSheetViews>
    <customSheetView guid="{41816220-B35C-45A9-9EE2-EC676D322318}">
      <selection activeCell="L33" sqref="L33"/>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8">
    <mergeCell ref="B3:D3"/>
    <mergeCell ref="B5:C5"/>
    <mergeCell ref="B10:C10"/>
    <mergeCell ref="B18:D18"/>
    <mergeCell ref="B26:D26"/>
    <mergeCell ref="B15:C15"/>
    <mergeCell ref="D11:D13"/>
    <mergeCell ref="D6:D8"/>
  </mergeCells>
  <hyperlinks>
    <hyperlink ref="B26:D26" r:id="rId2" display="Click here for information on the mortgage measures framework" xr:uid="{00000000-0004-0000-0100-000000000000}"/>
  </hyperlinks>
  <pageMargins left="0.7" right="0.7" top="0.75" bottom="0.75" header="0.3" footer="0.3"/>
  <pageSetup paperSize="9" orientation="portrait" r:id="rId3"/>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pageSetUpPr autoPageBreaks="0"/>
  </sheetPr>
  <dimension ref="A2:S35"/>
  <sheetViews>
    <sheetView zoomScaleNormal="100" workbookViewId="0"/>
  </sheetViews>
  <sheetFormatPr defaultColWidth="9.07421875" defaultRowHeight="14" x14ac:dyDescent="0.3"/>
  <cols>
    <col min="1" max="1" width="6.07421875" style="3" customWidth="1"/>
    <col min="2" max="2" width="24.3046875" style="3" customWidth="1"/>
    <col min="3" max="3" width="20.765625" style="3" customWidth="1"/>
    <col min="4" max="4" width="18.69140625" style="3" customWidth="1"/>
    <col min="5" max="5" width="15.3046875" style="3" customWidth="1"/>
    <col min="6" max="6" width="21" style="3" customWidth="1"/>
    <col min="7" max="7" width="14.07421875" style="3" bestFit="1" customWidth="1"/>
    <col min="8" max="8" width="9.07421875" style="3"/>
    <col min="9" max="9" width="12.84375" style="3" bestFit="1" customWidth="1"/>
    <col min="10" max="16384" width="9.07421875" style="3"/>
  </cols>
  <sheetData>
    <row r="2" spans="2:19" ht="14.5" thickBot="1" x14ac:dyDescent="0.35"/>
    <row r="3" spans="2:19" ht="15" customHeight="1" thickBot="1" x14ac:dyDescent="0.35">
      <c r="B3" s="161" t="s">
        <v>166</v>
      </c>
      <c r="C3" s="162"/>
      <c r="D3" s="162"/>
      <c r="E3" s="162"/>
      <c r="F3" s="162"/>
      <c r="G3" s="163"/>
    </row>
    <row r="4" spans="2:19" ht="14.5" thickBot="1" x14ac:dyDescent="0.35">
      <c r="B4" s="66"/>
      <c r="C4" s="8" t="s">
        <v>171</v>
      </c>
      <c r="D4" s="8" t="s">
        <v>172</v>
      </c>
      <c r="E4" s="8" t="s">
        <v>173</v>
      </c>
      <c r="F4" s="8" t="s">
        <v>174</v>
      </c>
      <c r="G4" s="33" t="s">
        <v>175</v>
      </c>
    </row>
    <row r="5" spans="2:19" x14ac:dyDescent="0.3">
      <c r="B5" s="57" t="s">
        <v>7</v>
      </c>
      <c r="C5" s="122">
        <v>15458.59</v>
      </c>
      <c r="D5" s="122">
        <v>48896</v>
      </c>
      <c r="E5" s="122">
        <v>100</v>
      </c>
      <c r="F5" s="122">
        <v>12697.81</v>
      </c>
      <c r="G5" s="122">
        <v>100</v>
      </c>
      <c r="J5" s="17"/>
      <c r="K5" s="17"/>
      <c r="L5" s="17"/>
      <c r="M5" s="17"/>
      <c r="N5" s="17"/>
      <c r="O5" s="17"/>
      <c r="P5" s="17"/>
      <c r="Q5" s="17"/>
      <c r="R5" s="17"/>
      <c r="S5" s="17"/>
    </row>
    <row r="6" spans="2:19" x14ac:dyDescent="0.3">
      <c r="B6" s="60" t="s">
        <v>8</v>
      </c>
      <c r="C6" s="70">
        <v>14203.79</v>
      </c>
      <c r="D6" s="70">
        <v>44369</v>
      </c>
      <c r="E6" s="70">
        <v>91.88</v>
      </c>
      <c r="F6" s="70">
        <v>11899.22</v>
      </c>
      <c r="G6" s="70">
        <v>93.71</v>
      </c>
      <c r="J6" s="17"/>
      <c r="K6" s="17"/>
      <c r="L6" s="17"/>
      <c r="M6" s="17"/>
      <c r="N6" s="17"/>
      <c r="O6" s="17"/>
      <c r="P6" s="17"/>
      <c r="Q6" s="17"/>
      <c r="R6" s="17"/>
      <c r="S6" s="17"/>
    </row>
    <row r="7" spans="2:19" x14ac:dyDescent="0.3">
      <c r="B7" s="68" t="s">
        <v>9</v>
      </c>
      <c r="C7" s="70"/>
      <c r="D7" s="70"/>
      <c r="E7" s="70"/>
      <c r="F7" s="70"/>
      <c r="G7" s="70"/>
      <c r="J7" s="17"/>
      <c r="K7" s="17"/>
      <c r="L7" s="17"/>
      <c r="M7" s="17"/>
      <c r="N7" s="17"/>
      <c r="O7" s="17"/>
      <c r="P7" s="17"/>
      <c r="Q7" s="17"/>
      <c r="R7" s="17"/>
      <c r="S7" s="17"/>
    </row>
    <row r="8" spans="2:19" x14ac:dyDescent="0.3">
      <c r="B8" s="68"/>
      <c r="C8" s="70"/>
      <c r="D8" s="70"/>
      <c r="E8" s="70"/>
      <c r="F8" s="70"/>
      <c r="G8" s="70"/>
      <c r="J8" s="17"/>
      <c r="K8" s="17"/>
      <c r="L8" s="17"/>
      <c r="M8" s="17"/>
      <c r="N8" s="17"/>
      <c r="O8" s="17"/>
      <c r="P8" s="17"/>
      <c r="Q8" s="17"/>
      <c r="R8" s="17"/>
      <c r="S8" s="17"/>
    </row>
    <row r="9" spans="2:19" x14ac:dyDescent="0.3">
      <c r="B9" s="69" t="s">
        <v>10</v>
      </c>
      <c r="C9" s="70">
        <v>14034.35</v>
      </c>
      <c r="D9" s="70">
        <v>43498</v>
      </c>
      <c r="E9" s="70">
        <v>98.81</v>
      </c>
      <c r="F9" s="70">
        <v>11751.59</v>
      </c>
      <c r="G9" s="70">
        <v>98.76</v>
      </c>
      <c r="J9" s="17"/>
      <c r="K9" s="17"/>
      <c r="L9" s="17"/>
      <c r="M9" s="17"/>
      <c r="N9" s="17"/>
      <c r="O9" s="17"/>
      <c r="P9" s="17"/>
      <c r="Q9" s="17"/>
      <c r="R9" s="17"/>
      <c r="S9" s="17"/>
    </row>
    <row r="10" spans="2:19" x14ac:dyDescent="0.3">
      <c r="B10" s="69"/>
      <c r="C10" s="70"/>
      <c r="D10" s="70"/>
      <c r="E10" s="70"/>
      <c r="F10" s="70"/>
      <c r="G10" s="70"/>
      <c r="J10" s="17"/>
      <c r="K10" s="17"/>
      <c r="L10" s="17"/>
      <c r="M10" s="17"/>
      <c r="N10" s="17"/>
      <c r="O10" s="17"/>
      <c r="P10" s="17"/>
      <c r="Q10" s="17"/>
      <c r="R10" s="17"/>
      <c r="S10" s="17"/>
    </row>
    <row r="11" spans="2:19" x14ac:dyDescent="0.3">
      <c r="B11" s="60" t="s">
        <v>11</v>
      </c>
      <c r="C11" s="70">
        <v>9602.1200000000008</v>
      </c>
      <c r="D11" s="70">
        <v>30472</v>
      </c>
      <c r="E11" s="70">
        <v>68.42</v>
      </c>
      <c r="F11" s="70">
        <v>7997.48</v>
      </c>
      <c r="G11" s="70">
        <v>68.05</v>
      </c>
      <c r="J11" s="17"/>
      <c r="K11" s="17"/>
      <c r="L11" s="17"/>
      <c r="M11" s="17"/>
      <c r="N11" s="17"/>
      <c r="O11" s="17"/>
      <c r="P11" s="17"/>
      <c r="Q11" s="17"/>
      <c r="R11" s="17"/>
      <c r="S11" s="17"/>
    </row>
    <row r="12" spans="2:19" x14ac:dyDescent="0.3">
      <c r="B12" s="60" t="s">
        <v>139</v>
      </c>
      <c r="C12" s="70">
        <v>925.45</v>
      </c>
      <c r="D12" s="70">
        <v>2444</v>
      </c>
      <c r="E12" s="70">
        <v>9.64</v>
      </c>
      <c r="F12" s="70">
        <v>517.72</v>
      </c>
      <c r="G12" s="70">
        <v>6.47</v>
      </c>
      <c r="J12" s="17"/>
      <c r="K12" s="17"/>
      <c r="L12" s="17"/>
      <c r="M12" s="17"/>
      <c r="N12" s="17"/>
      <c r="O12" s="17"/>
      <c r="P12" s="17"/>
      <c r="Q12" s="17"/>
      <c r="R12" s="17"/>
      <c r="S12" s="17"/>
    </row>
    <row r="13" spans="2:19" x14ac:dyDescent="0.3">
      <c r="B13" s="68" t="s">
        <v>12</v>
      </c>
      <c r="C13" s="70">
        <v>1.24</v>
      </c>
      <c r="D13" s="70">
        <v>4</v>
      </c>
      <c r="E13" s="70">
        <v>0.13</v>
      </c>
      <c r="F13" s="70">
        <v>2.41</v>
      </c>
      <c r="G13" s="70">
        <v>0.47</v>
      </c>
      <c r="J13" s="17"/>
      <c r="K13" s="17"/>
      <c r="L13" s="17"/>
      <c r="M13" s="17"/>
      <c r="N13" s="17"/>
      <c r="O13" s="17"/>
      <c r="P13" s="17"/>
      <c r="Q13" s="17"/>
      <c r="R13" s="17"/>
      <c r="S13" s="17"/>
    </row>
    <row r="14" spans="2:19" x14ac:dyDescent="0.3">
      <c r="B14" s="68" t="s">
        <v>122</v>
      </c>
      <c r="C14" s="70">
        <v>924.21</v>
      </c>
      <c r="D14" s="70">
        <v>2440</v>
      </c>
      <c r="E14" s="70">
        <v>99.87</v>
      </c>
      <c r="F14" s="70">
        <v>515.30999999999995</v>
      </c>
      <c r="G14" s="70">
        <v>99.53</v>
      </c>
      <c r="J14" s="17"/>
      <c r="K14" s="17"/>
      <c r="L14" s="17"/>
      <c r="M14" s="17"/>
      <c r="N14" s="17"/>
      <c r="O14" s="17"/>
      <c r="P14" s="17"/>
      <c r="Q14" s="17"/>
      <c r="R14" s="17"/>
      <c r="S14" s="17"/>
    </row>
    <row r="15" spans="2:19" x14ac:dyDescent="0.3">
      <c r="B15" s="68"/>
      <c r="C15" s="70"/>
      <c r="D15" s="70"/>
      <c r="E15" s="70"/>
      <c r="F15" s="70"/>
      <c r="G15" s="70"/>
      <c r="J15" s="17"/>
      <c r="K15" s="17"/>
      <c r="L15" s="17"/>
      <c r="M15" s="17"/>
      <c r="N15" s="17"/>
      <c r="O15" s="17"/>
      <c r="P15" s="17"/>
      <c r="Q15" s="17"/>
      <c r="R15" s="17"/>
      <c r="S15" s="17"/>
    </row>
    <row r="16" spans="2:19" x14ac:dyDescent="0.3">
      <c r="B16" s="60" t="s">
        <v>13</v>
      </c>
      <c r="C16" s="70">
        <v>4432.2295000000004</v>
      </c>
      <c r="D16" s="70">
        <v>13026</v>
      </c>
      <c r="E16" s="70">
        <v>31.581287</v>
      </c>
      <c r="F16" s="70">
        <v>3754.1064000000001</v>
      </c>
      <c r="G16" s="70">
        <v>31.945516999999999</v>
      </c>
      <c r="J16" s="17"/>
      <c r="K16" s="17"/>
      <c r="L16" s="17"/>
      <c r="M16" s="17"/>
      <c r="N16" s="17"/>
      <c r="O16" s="17"/>
      <c r="P16" s="17"/>
      <c r="Q16" s="17"/>
      <c r="R16" s="17"/>
      <c r="S16" s="17"/>
    </row>
    <row r="17" spans="1:19" x14ac:dyDescent="0.3">
      <c r="B17" s="60" t="s">
        <v>140</v>
      </c>
      <c r="C17" s="70">
        <v>440.49840999999998</v>
      </c>
      <c r="D17" s="70">
        <v>900</v>
      </c>
      <c r="E17" s="70">
        <v>9.9385290000000008</v>
      </c>
      <c r="F17" s="70">
        <v>380.99677000000003</v>
      </c>
      <c r="G17" s="70">
        <v>10.1488</v>
      </c>
      <c r="J17" s="17"/>
      <c r="K17" s="17"/>
      <c r="L17" s="17"/>
      <c r="M17" s="17"/>
      <c r="N17" s="17"/>
      <c r="O17" s="17"/>
      <c r="P17" s="17"/>
      <c r="Q17" s="17"/>
      <c r="R17" s="17"/>
      <c r="S17" s="17"/>
    </row>
    <row r="18" spans="1:19" x14ac:dyDescent="0.3">
      <c r="B18" s="68" t="s">
        <v>14</v>
      </c>
      <c r="C18" s="70">
        <v>0.17550001000000001</v>
      </c>
      <c r="D18" s="70">
        <v>1</v>
      </c>
      <c r="E18" s="70">
        <v>3.9841229999999998E-2</v>
      </c>
      <c r="F18" s="70">
        <v>0.27100000000000002</v>
      </c>
      <c r="G18" s="70">
        <v>7.1129209999999998E-2</v>
      </c>
      <c r="J18" s="17"/>
      <c r="K18" s="17"/>
      <c r="L18" s="17"/>
      <c r="M18" s="17"/>
      <c r="N18" s="17"/>
      <c r="O18" s="17"/>
      <c r="P18" s="17"/>
      <c r="Q18" s="17"/>
      <c r="R18" s="17"/>
      <c r="S18" s="17"/>
    </row>
    <row r="19" spans="1:19" x14ac:dyDescent="0.3">
      <c r="B19" s="68" t="s">
        <v>123</v>
      </c>
      <c r="C19" s="70">
        <v>440.32288</v>
      </c>
      <c r="D19" s="70">
        <v>899</v>
      </c>
      <c r="E19" s="70">
        <v>99.960151999999994</v>
      </c>
      <c r="F19" s="70">
        <v>380.72577000000001</v>
      </c>
      <c r="G19" s="70">
        <v>99.928871000000001</v>
      </c>
      <c r="J19" s="17"/>
      <c r="K19" s="17"/>
      <c r="L19" s="17"/>
      <c r="M19" s="17"/>
      <c r="N19" s="17"/>
      <c r="O19" s="17"/>
      <c r="P19" s="17"/>
      <c r="Q19" s="17"/>
      <c r="R19" s="17"/>
      <c r="S19" s="17"/>
    </row>
    <row r="20" spans="1:19" x14ac:dyDescent="0.3">
      <c r="A20" s="17"/>
      <c r="B20" s="68"/>
      <c r="C20" s="70"/>
      <c r="D20" s="70"/>
      <c r="E20" s="70"/>
      <c r="F20" s="70"/>
      <c r="G20" s="70"/>
      <c r="J20" s="17"/>
      <c r="K20" s="17"/>
      <c r="L20" s="17"/>
      <c r="M20" s="17"/>
      <c r="N20" s="17"/>
      <c r="O20" s="17"/>
      <c r="P20" s="17"/>
      <c r="Q20" s="17"/>
      <c r="R20" s="17"/>
      <c r="S20" s="17"/>
    </row>
    <row r="21" spans="1:19" x14ac:dyDescent="0.3">
      <c r="B21" s="69" t="s">
        <v>15</v>
      </c>
      <c r="C21" s="70">
        <v>169.44</v>
      </c>
      <c r="D21" s="70">
        <v>871</v>
      </c>
      <c r="E21" s="70">
        <v>1.19</v>
      </c>
      <c r="F21" s="70">
        <v>147.63</v>
      </c>
      <c r="G21" s="70">
        <v>1.24</v>
      </c>
      <c r="J21" s="17"/>
      <c r="K21" s="17"/>
      <c r="L21" s="17"/>
      <c r="M21" s="17"/>
      <c r="N21" s="17"/>
      <c r="O21" s="17"/>
      <c r="P21" s="17"/>
      <c r="Q21" s="17"/>
      <c r="R21" s="17"/>
      <c r="S21" s="17"/>
    </row>
    <row r="22" spans="1:19" x14ac:dyDescent="0.3">
      <c r="B22" s="60" t="s">
        <v>16</v>
      </c>
      <c r="C22" s="70">
        <v>2.5299999999999998</v>
      </c>
      <c r="D22" s="70">
        <v>12</v>
      </c>
      <c r="E22" s="70">
        <v>1.49</v>
      </c>
      <c r="F22" s="70">
        <v>1.94</v>
      </c>
      <c r="G22" s="70">
        <v>1.31</v>
      </c>
      <c r="J22" s="17"/>
      <c r="K22" s="17"/>
      <c r="L22" s="17"/>
      <c r="M22" s="17"/>
      <c r="N22" s="17"/>
      <c r="O22" s="17"/>
      <c r="P22" s="17"/>
      <c r="Q22" s="17"/>
      <c r="R22" s="17"/>
      <c r="S22" s="17"/>
    </row>
    <row r="23" spans="1:19" x14ac:dyDescent="0.3">
      <c r="B23" s="60"/>
      <c r="C23" s="70"/>
      <c r="D23" s="70"/>
      <c r="E23" s="70"/>
      <c r="F23" s="70"/>
      <c r="G23" s="70"/>
      <c r="J23" s="17"/>
      <c r="K23" s="17"/>
      <c r="L23" s="17"/>
      <c r="M23" s="17"/>
      <c r="N23" s="17"/>
      <c r="O23" s="17"/>
      <c r="P23" s="17"/>
      <c r="Q23" s="17"/>
      <c r="R23" s="17"/>
      <c r="S23" s="17"/>
    </row>
    <row r="24" spans="1:19" x14ac:dyDescent="0.3">
      <c r="B24" s="60" t="s">
        <v>17</v>
      </c>
      <c r="C24" s="70">
        <v>1254.8</v>
      </c>
      <c r="D24" s="70">
        <v>4527</v>
      </c>
      <c r="E24" s="70">
        <v>8.1199999999999992</v>
      </c>
      <c r="F24" s="70">
        <v>798.59</v>
      </c>
      <c r="G24" s="70">
        <v>6.29</v>
      </c>
      <c r="J24" s="17"/>
      <c r="K24" s="17"/>
      <c r="L24" s="17"/>
      <c r="M24" s="17"/>
      <c r="N24" s="17"/>
      <c r="O24" s="17"/>
      <c r="P24" s="17"/>
      <c r="Q24" s="17"/>
      <c r="R24" s="17"/>
      <c r="S24" s="17"/>
    </row>
    <row r="25" spans="1:19" x14ac:dyDescent="0.3">
      <c r="B25" s="68" t="s">
        <v>9</v>
      </c>
      <c r="C25" s="70"/>
      <c r="D25" s="70"/>
      <c r="E25" s="70"/>
      <c r="F25" s="70"/>
      <c r="G25" s="70"/>
      <c r="J25" s="17"/>
      <c r="K25" s="17"/>
      <c r="L25" s="17"/>
      <c r="M25" s="17"/>
      <c r="N25" s="17"/>
      <c r="O25" s="17"/>
      <c r="P25" s="17"/>
      <c r="Q25" s="17"/>
      <c r="R25" s="17"/>
      <c r="S25" s="17"/>
    </row>
    <row r="26" spans="1:19" x14ac:dyDescent="0.3">
      <c r="B26" s="60" t="s">
        <v>126</v>
      </c>
      <c r="C26" s="70">
        <v>1254.8</v>
      </c>
      <c r="D26" s="70">
        <v>4527</v>
      </c>
      <c r="E26" s="70">
        <v>100</v>
      </c>
      <c r="F26" s="70">
        <v>798.59</v>
      </c>
      <c r="G26" s="70">
        <v>100</v>
      </c>
      <c r="J26" s="17"/>
      <c r="K26" s="17"/>
      <c r="L26" s="17"/>
      <c r="M26" s="17"/>
      <c r="N26" s="17"/>
      <c r="O26" s="17"/>
      <c r="P26" s="17"/>
      <c r="Q26" s="17"/>
      <c r="R26" s="17"/>
      <c r="S26" s="17"/>
    </row>
    <row r="27" spans="1:19" ht="14.5" customHeight="1" x14ac:dyDescent="0.3">
      <c r="B27" s="60" t="s">
        <v>18</v>
      </c>
      <c r="C27" s="70" t="s">
        <v>160</v>
      </c>
      <c r="D27" s="70" t="s">
        <v>160</v>
      </c>
      <c r="E27" s="70" t="s">
        <v>160</v>
      </c>
      <c r="F27" s="70" t="s">
        <v>160</v>
      </c>
      <c r="G27" s="70" t="s">
        <v>160</v>
      </c>
      <c r="O27" s="17"/>
      <c r="P27" s="17"/>
      <c r="Q27" s="17"/>
      <c r="R27" s="17"/>
      <c r="S27" s="17"/>
    </row>
    <row r="28" spans="1:19" ht="18.75" customHeight="1" thickBot="1" x14ac:dyDescent="0.35">
      <c r="B28" s="63" t="s">
        <v>19</v>
      </c>
      <c r="C28" s="123" t="s">
        <v>160</v>
      </c>
      <c r="D28" s="123" t="s">
        <v>160</v>
      </c>
      <c r="E28" s="123" t="s">
        <v>160</v>
      </c>
      <c r="F28" s="123" t="s">
        <v>160</v>
      </c>
      <c r="G28" s="123" t="s">
        <v>160</v>
      </c>
      <c r="O28" s="17"/>
      <c r="P28" s="17"/>
      <c r="Q28" s="17"/>
      <c r="R28" s="17"/>
      <c r="S28" s="17"/>
    </row>
    <row r="29" spans="1:19" ht="53.25" customHeight="1" x14ac:dyDescent="0.3">
      <c r="B29" s="164" t="s">
        <v>178</v>
      </c>
      <c r="C29" s="165"/>
      <c r="D29" s="165"/>
      <c r="E29" s="165"/>
      <c r="F29" s="165"/>
      <c r="G29" s="166"/>
    </row>
    <row r="30" spans="1:19" ht="16.5" customHeight="1" x14ac:dyDescent="0.3">
      <c r="B30" s="170" t="s">
        <v>128</v>
      </c>
      <c r="C30" s="171"/>
      <c r="D30" s="171"/>
      <c r="E30" s="171"/>
      <c r="F30" s="171"/>
      <c r="G30" s="172"/>
    </row>
    <row r="31" spans="1:19" ht="16.5" customHeight="1" thickBot="1" x14ac:dyDescent="0.35">
      <c r="B31" s="167" t="s">
        <v>176</v>
      </c>
      <c r="C31" s="168"/>
      <c r="D31" s="168"/>
      <c r="E31" s="168"/>
      <c r="F31" s="168"/>
      <c r="G31" s="169"/>
    </row>
    <row r="32" spans="1:19" ht="15.75" customHeight="1" x14ac:dyDescent="0.3"/>
    <row r="33" spans="2:7" ht="24" customHeight="1" x14ac:dyDescent="0.3">
      <c r="C33" s="27"/>
      <c r="D33" s="16"/>
      <c r="E33" s="16"/>
      <c r="F33" s="16"/>
      <c r="G33" s="16"/>
    </row>
    <row r="34" spans="2:7" ht="14.5" x14ac:dyDescent="0.3">
      <c r="B34" s="38"/>
    </row>
    <row r="35" spans="2:7" x14ac:dyDescent="0.3">
      <c r="C35" s="17"/>
    </row>
  </sheetData>
  <customSheetViews>
    <customSheetView guid="{41816220-B35C-45A9-9EE2-EC676D322318}">
      <selection activeCell="G20" sqref="G2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G3"/>
    <mergeCell ref="B29:G29"/>
    <mergeCell ref="B31:G31"/>
    <mergeCell ref="B30:G30"/>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pageSetUpPr autoPageBreaks="0"/>
  </sheetPr>
  <dimension ref="B2:J59"/>
  <sheetViews>
    <sheetView zoomScaleNormal="100" workbookViewId="0"/>
  </sheetViews>
  <sheetFormatPr defaultColWidth="9.07421875" defaultRowHeight="14" x14ac:dyDescent="0.3"/>
  <cols>
    <col min="1" max="1" width="6.07421875" style="3" customWidth="1"/>
    <col min="2" max="2" width="27.765625" style="3" customWidth="1"/>
    <col min="3" max="4" width="22.3046875" style="3" customWidth="1"/>
    <col min="5" max="5" width="6.23046875" style="29" bestFit="1" customWidth="1"/>
    <col min="6" max="6" width="8.23046875" style="3" bestFit="1" customWidth="1"/>
    <col min="7" max="16384" width="9.07421875" style="3"/>
  </cols>
  <sheetData>
    <row r="2" spans="2:10" ht="14.5" thickBot="1" x14ac:dyDescent="0.35"/>
    <row r="3" spans="2:10" ht="14.5" thickBot="1" x14ac:dyDescent="0.35">
      <c r="B3" s="161" t="s">
        <v>177</v>
      </c>
      <c r="C3" s="162"/>
      <c r="D3" s="163"/>
    </row>
    <row r="4" spans="2:10" ht="14.5" thickBot="1" x14ac:dyDescent="0.35">
      <c r="B4" s="9"/>
      <c r="C4" s="8">
        <v>2024</v>
      </c>
      <c r="D4" s="8">
        <v>2025</v>
      </c>
    </row>
    <row r="5" spans="2:10" x14ac:dyDescent="0.3">
      <c r="B5" s="75" t="s">
        <v>32</v>
      </c>
      <c r="C5" s="76"/>
      <c r="D5" s="76"/>
      <c r="F5" s="18"/>
      <c r="G5" s="13"/>
      <c r="H5" s="13"/>
      <c r="I5" s="13"/>
    </row>
    <row r="6" spans="2:10" x14ac:dyDescent="0.3">
      <c r="B6" s="4" t="s">
        <v>20</v>
      </c>
      <c r="C6" s="81">
        <v>302973.82</v>
      </c>
      <c r="D6" s="81">
        <v>322252.96999999997</v>
      </c>
      <c r="E6" s="37"/>
      <c r="F6" s="18"/>
      <c r="G6" s="121"/>
      <c r="H6" s="121"/>
      <c r="I6" s="121"/>
    </row>
    <row r="7" spans="2:10" x14ac:dyDescent="0.3">
      <c r="B7" s="4" t="s">
        <v>21</v>
      </c>
      <c r="C7" s="81">
        <v>385384.54</v>
      </c>
      <c r="D7" s="81">
        <v>408223.86</v>
      </c>
      <c r="F7" s="18"/>
      <c r="G7" s="121"/>
      <c r="H7" s="121"/>
      <c r="I7" s="121"/>
    </row>
    <row r="8" spans="2:10" x14ac:dyDescent="0.3">
      <c r="B8" s="4" t="s">
        <v>22</v>
      </c>
      <c r="C8" s="78">
        <v>79.61</v>
      </c>
      <c r="D8" s="78">
        <v>79.84</v>
      </c>
      <c r="F8" s="18"/>
      <c r="G8" s="121"/>
      <c r="H8" s="121"/>
      <c r="I8" s="125"/>
      <c r="J8" s="125"/>
    </row>
    <row r="9" spans="2:10" x14ac:dyDescent="0.3">
      <c r="B9" s="4" t="s">
        <v>23</v>
      </c>
      <c r="C9" s="81">
        <v>91743.95</v>
      </c>
      <c r="D9" s="81">
        <v>94956.94</v>
      </c>
      <c r="F9" s="18"/>
      <c r="G9" s="121"/>
      <c r="H9" s="121"/>
      <c r="I9" s="125"/>
      <c r="J9" s="125"/>
    </row>
    <row r="10" spans="2:10" x14ac:dyDescent="0.3">
      <c r="B10" s="4" t="s">
        <v>24</v>
      </c>
      <c r="C10" s="78">
        <v>3.39</v>
      </c>
      <c r="D10" s="78">
        <v>3.49</v>
      </c>
      <c r="F10" s="18"/>
      <c r="G10" s="36"/>
      <c r="H10" s="36"/>
      <c r="I10" s="125"/>
      <c r="J10" s="125"/>
    </row>
    <row r="11" spans="2:10" x14ac:dyDescent="0.3">
      <c r="B11" s="4" t="s">
        <v>25</v>
      </c>
      <c r="C11" s="81">
        <v>29.53</v>
      </c>
      <c r="D11" s="81">
        <v>29.73</v>
      </c>
      <c r="F11" s="18"/>
      <c r="G11" s="121"/>
      <c r="H11" s="121"/>
      <c r="I11" s="125"/>
      <c r="J11" s="125"/>
    </row>
    <row r="12" spans="2:10" x14ac:dyDescent="0.3">
      <c r="B12" s="4" t="s">
        <v>26</v>
      </c>
      <c r="C12" s="81">
        <v>1269.53</v>
      </c>
      <c r="D12" s="81">
        <v>1260.3399999999999</v>
      </c>
      <c r="F12" s="18"/>
      <c r="G12" s="121"/>
      <c r="H12" s="121"/>
      <c r="I12" s="125"/>
      <c r="J12" s="125"/>
    </row>
    <row r="13" spans="2:10" x14ac:dyDescent="0.3">
      <c r="B13" s="4" t="s">
        <v>27</v>
      </c>
      <c r="C13" s="78">
        <v>4.03</v>
      </c>
      <c r="D13" s="78">
        <v>3.62</v>
      </c>
      <c r="F13" s="18"/>
      <c r="G13" s="13"/>
      <c r="H13" s="13"/>
      <c r="I13" s="125"/>
      <c r="J13" s="125"/>
    </row>
    <row r="14" spans="2:10" x14ac:dyDescent="0.3">
      <c r="B14" s="4" t="s">
        <v>37</v>
      </c>
      <c r="C14" s="78"/>
      <c r="D14" s="78"/>
      <c r="F14" s="18"/>
      <c r="G14" s="36"/>
      <c r="H14" s="36"/>
      <c r="I14" s="125"/>
      <c r="J14" s="125"/>
    </row>
    <row r="15" spans="2:10" x14ac:dyDescent="0.3">
      <c r="B15" s="79" t="s">
        <v>28</v>
      </c>
      <c r="C15" s="82">
        <v>82.02</v>
      </c>
      <c r="D15" s="82">
        <v>88.73</v>
      </c>
      <c r="F15" s="18"/>
      <c r="G15" s="36"/>
      <c r="H15" s="36"/>
      <c r="I15" s="125"/>
      <c r="J15" s="125"/>
    </row>
    <row r="16" spans="2:10" x14ac:dyDescent="0.3">
      <c r="B16" s="79" t="s">
        <v>29</v>
      </c>
      <c r="C16" s="82">
        <v>16.97</v>
      </c>
      <c r="D16" s="82">
        <v>10.5</v>
      </c>
      <c r="F16" s="18"/>
      <c r="G16" s="36"/>
      <c r="H16" s="36"/>
      <c r="I16" s="125"/>
      <c r="J16" s="125"/>
    </row>
    <row r="17" spans="2:10" x14ac:dyDescent="0.3">
      <c r="B17" s="79" t="s">
        <v>30</v>
      </c>
      <c r="C17" s="82">
        <v>1.01</v>
      </c>
      <c r="D17" s="82">
        <v>0.77</v>
      </c>
      <c r="F17" s="18"/>
      <c r="G17" s="36"/>
      <c r="H17" s="36"/>
      <c r="I17" s="125"/>
      <c r="J17" s="125"/>
    </row>
    <row r="18" spans="2:10" x14ac:dyDescent="0.3">
      <c r="B18" s="80" t="s">
        <v>31</v>
      </c>
      <c r="C18" s="78"/>
      <c r="D18" s="78"/>
      <c r="F18" s="18"/>
      <c r="G18" s="13"/>
      <c r="H18" s="13"/>
      <c r="I18" s="125"/>
      <c r="J18" s="125"/>
    </row>
    <row r="19" spans="2:10" x14ac:dyDescent="0.3">
      <c r="B19" s="4" t="s">
        <v>33</v>
      </c>
      <c r="C19" s="81">
        <v>35.46</v>
      </c>
      <c r="D19" s="81">
        <v>35.42</v>
      </c>
      <c r="F19" s="18"/>
      <c r="G19" s="13"/>
      <c r="H19" s="13"/>
      <c r="I19" s="125"/>
      <c r="J19" s="125"/>
    </row>
    <row r="20" spans="2:10" x14ac:dyDescent="0.3">
      <c r="B20" s="4" t="s">
        <v>34</v>
      </c>
      <c r="C20" s="78">
        <v>69.37</v>
      </c>
      <c r="D20" s="78">
        <v>68.64</v>
      </c>
      <c r="F20" s="18"/>
      <c r="G20" s="121"/>
      <c r="H20" s="121"/>
      <c r="I20" s="125"/>
      <c r="J20" s="125"/>
    </row>
    <row r="21" spans="2:10" x14ac:dyDescent="0.3">
      <c r="B21" s="4" t="s">
        <v>35</v>
      </c>
      <c r="C21" s="78">
        <v>94.69</v>
      </c>
      <c r="D21" s="78">
        <v>94.93</v>
      </c>
      <c r="F21" s="18"/>
      <c r="G21" s="36"/>
      <c r="H21" s="36"/>
      <c r="I21" s="125"/>
      <c r="J21" s="125"/>
    </row>
    <row r="22" spans="2:10" x14ac:dyDescent="0.3">
      <c r="B22" s="4" t="s">
        <v>36</v>
      </c>
      <c r="C22" s="78"/>
      <c r="D22" s="78"/>
      <c r="F22" s="18"/>
      <c r="G22" s="36"/>
      <c r="H22" s="36"/>
      <c r="I22" s="125"/>
      <c r="J22" s="125"/>
    </row>
    <row r="23" spans="2:10" x14ac:dyDescent="0.3">
      <c r="B23" s="79" t="s">
        <v>38</v>
      </c>
      <c r="C23" s="82">
        <v>30.69</v>
      </c>
      <c r="D23" s="82">
        <v>30.02</v>
      </c>
      <c r="F23" s="18"/>
      <c r="G23" s="36"/>
      <c r="H23" s="36"/>
      <c r="I23" s="125"/>
      <c r="J23" s="125"/>
    </row>
    <row r="24" spans="2:10" x14ac:dyDescent="0.3">
      <c r="B24" s="79" t="s">
        <v>39</v>
      </c>
      <c r="C24" s="82">
        <v>32.869999999999997</v>
      </c>
      <c r="D24" s="82">
        <v>32.82</v>
      </c>
      <c r="F24" s="18"/>
      <c r="G24" s="36"/>
      <c r="H24" s="36"/>
      <c r="I24" s="125"/>
      <c r="J24" s="125"/>
    </row>
    <row r="25" spans="2:10" x14ac:dyDescent="0.3">
      <c r="B25" s="79" t="s">
        <v>40</v>
      </c>
      <c r="C25" s="82">
        <v>23.92</v>
      </c>
      <c r="D25" s="82">
        <v>24.64</v>
      </c>
      <c r="F25" s="18"/>
      <c r="G25" s="36"/>
      <c r="H25" s="36"/>
      <c r="I25" s="125"/>
      <c r="J25" s="125"/>
    </row>
    <row r="26" spans="2:10" x14ac:dyDescent="0.3">
      <c r="B26" s="79" t="s">
        <v>127</v>
      </c>
      <c r="C26" s="82">
        <v>8.67</v>
      </c>
      <c r="D26" s="82">
        <v>8.89</v>
      </c>
      <c r="F26" s="18"/>
      <c r="G26" s="36"/>
      <c r="H26" s="36"/>
      <c r="I26" s="125"/>
      <c r="J26" s="125"/>
    </row>
    <row r="27" spans="2:10" ht="14.5" thickBot="1" x14ac:dyDescent="0.35">
      <c r="B27" s="79" t="s">
        <v>41</v>
      </c>
      <c r="C27" s="82">
        <v>3.84</v>
      </c>
      <c r="D27" s="82">
        <v>3.63</v>
      </c>
      <c r="G27" s="36"/>
      <c r="H27" s="36"/>
      <c r="I27" s="125"/>
      <c r="J27" s="125"/>
    </row>
    <row r="28" spans="2:10" ht="14.15" customHeight="1" x14ac:dyDescent="0.3">
      <c r="B28" s="124" t="s">
        <v>153</v>
      </c>
      <c r="C28" s="41"/>
      <c r="D28" s="42"/>
      <c r="I28" s="125"/>
      <c r="J28" s="125"/>
    </row>
    <row r="29" spans="2:10" ht="39" customHeight="1" x14ac:dyDescent="0.3">
      <c r="B29" s="170" t="s">
        <v>137</v>
      </c>
      <c r="C29" s="171"/>
      <c r="D29" s="172"/>
      <c r="I29" s="125"/>
      <c r="J29" s="125"/>
    </row>
    <row r="30" spans="2:10" ht="14.5" thickBot="1" x14ac:dyDescent="0.35">
      <c r="B30" s="43" t="s">
        <v>181</v>
      </c>
      <c r="C30" s="44"/>
      <c r="D30" s="45"/>
      <c r="I30" s="36"/>
    </row>
    <row r="31" spans="2:10" x14ac:dyDescent="0.3">
      <c r="B31" s="34"/>
      <c r="I31" s="36"/>
    </row>
    <row r="32" spans="2:10" ht="14.15" customHeight="1" x14ac:dyDescent="0.3">
      <c r="B32" s="29"/>
      <c r="C32" s="28"/>
      <c r="D32" s="28"/>
      <c r="E32" s="30"/>
      <c r="I32" s="36"/>
    </row>
    <row r="33" spans="2:5" x14ac:dyDescent="0.3">
      <c r="B33" s="29"/>
      <c r="C33" s="28"/>
      <c r="D33" s="28"/>
      <c r="E33" s="30"/>
    </row>
    <row r="34" spans="2:5" x14ac:dyDescent="0.3">
      <c r="B34" s="29"/>
      <c r="C34" s="28"/>
      <c r="D34" s="28"/>
      <c r="E34" s="30"/>
    </row>
    <row r="35" spans="2:5" x14ac:dyDescent="0.3">
      <c r="B35" s="29"/>
      <c r="C35" s="28"/>
      <c r="D35" s="28"/>
      <c r="E35" s="30"/>
    </row>
    <row r="36" spans="2:5" x14ac:dyDescent="0.3">
      <c r="B36" s="29"/>
      <c r="C36" s="28"/>
      <c r="D36" s="28"/>
      <c r="E36" s="30"/>
    </row>
    <row r="37" spans="2:5" x14ac:dyDescent="0.3">
      <c r="B37" s="29"/>
      <c r="C37" s="28"/>
      <c r="D37" s="28"/>
      <c r="E37" s="30"/>
    </row>
    <row r="38" spans="2:5" x14ac:dyDescent="0.3">
      <c r="B38" s="29"/>
      <c r="C38" s="28"/>
      <c r="D38" s="28"/>
      <c r="E38" s="30"/>
    </row>
    <row r="39" spans="2:5" x14ac:dyDescent="0.3">
      <c r="B39" s="29"/>
      <c r="C39" s="28"/>
      <c r="D39" s="28"/>
      <c r="E39" s="30"/>
    </row>
    <row r="40" spans="2:5" x14ac:dyDescent="0.3">
      <c r="B40" s="29"/>
      <c r="C40" s="28"/>
      <c r="D40" s="28"/>
      <c r="E40" s="30"/>
    </row>
    <row r="41" spans="2:5" x14ac:dyDescent="0.3">
      <c r="B41" s="31"/>
      <c r="C41" s="28"/>
      <c r="D41" s="28"/>
      <c r="E41" s="30"/>
    </row>
    <row r="42" spans="2:5" x14ac:dyDescent="0.3">
      <c r="B42" s="31"/>
      <c r="C42" s="28"/>
      <c r="D42" s="28"/>
      <c r="E42" s="30"/>
    </row>
    <row r="43" spans="2:5" x14ac:dyDescent="0.3">
      <c r="B43" s="31"/>
      <c r="C43" s="28"/>
      <c r="D43" s="28"/>
      <c r="E43" s="30"/>
    </row>
    <row r="44" spans="2:5" x14ac:dyDescent="0.3">
      <c r="B44" s="32"/>
      <c r="C44" s="28"/>
      <c r="D44" s="28"/>
      <c r="E44" s="30"/>
    </row>
    <row r="45" spans="2:5" x14ac:dyDescent="0.3">
      <c r="B45" s="29"/>
      <c r="C45" s="28"/>
      <c r="D45" s="28"/>
      <c r="E45" s="30"/>
    </row>
    <row r="46" spans="2:5" x14ac:dyDescent="0.3">
      <c r="B46" s="29"/>
      <c r="C46" s="28"/>
      <c r="D46" s="28"/>
      <c r="E46" s="30"/>
    </row>
    <row r="47" spans="2:5" x14ac:dyDescent="0.3">
      <c r="B47" s="29"/>
      <c r="C47" s="28"/>
      <c r="D47" s="28"/>
      <c r="E47" s="30"/>
    </row>
    <row r="48" spans="2:5" x14ac:dyDescent="0.3">
      <c r="B48" s="29"/>
      <c r="C48" s="28"/>
      <c r="D48" s="28"/>
      <c r="E48" s="30"/>
    </row>
    <row r="49" spans="2:5" x14ac:dyDescent="0.3">
      <c r="B49" s="31"/>
      <c r="C49" s="28"/>
      <c r="D49" s="28"/>
      <c r="E49" s="30"/>
    </row>
    <row r="50" spans="2:5" x14ac:dyDescent="0.3">
      <c r="B50" s="31"/>
      <c r="C50" s="28"/>
      <c r="D50" s="28"/>
      <c r="E50" s="30"/>
    </row>
    <row r="51" spans="2:5" x14ac:dyDescent="0.3">
      <c r="B51" s="31"/>
      <c r="C51" s="28"/>
      <c r="D51" s="28"/>
      <c r="E51" s="30"/>
    </row>
    <row r="52" spans="2:5" x14ac:dyDescent="0.3">
      <c r="B52" s="31"/>
      <c r="C52" s="28"/>
      <c r="D52" s="28"/>
      <c r="E52" s="30"/>
    </row>
    <row r="53" spans="2:5" x14ac:dyDescent="0.3">
      <c r="B53" s="31"/>
      <c r="C53" s="28"/>
      <c r="D53" s="28"/>
      <c r="E53" s="30"/>
    </row>
    <row r="54" spans="2:5" x14ac:dyDescent="0.3">
      <c r="C54" s="28"/>
    </row>
    <row r="55" spans="2:5" x14ac:dyDescent="0.3">
      <c r="C55" s="28"/>
    </row>
    <row r="56" spans="2:5" x14ac:dyDescent="0.3">
      <c r="C56" s="28"/>
    </row>
    <row r="57" spans="2:5" x14ac:dyDescent="0.3">
      <c r="C57" s="28"/>
    </row>
    <row r="58" spans="2:5" x14ac:dyDescent="0.3">
      <c r="C58" s="28"/>
    </row>
    <row r="59" spans="2:5" x14ac:dyDescent="0.3">
      <c r="C59" s="28"/>
    </row>
  </sheetData>
  <customSheetViews>
    <customSheetView guid="{41816220-B35C-45A9-9EE2-EC676D322318}" topLeftCell="A4">
      <selection activeCell="E10" sqref="E1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2">
    <mergeCell ref="B3:D3"/>
    <mergeCell ref="B29:D29"/>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pageSetUpPr autoPageBreaks="0"/>
  </sheetPr>
  <dimension ref="B2:AB112"/>
  <sheetViews>
    <sheetView workbookViewId="0"/>
  </sheetViews>
  <sheetFormatPr defaultColWidth="9.07421875" defaultRowHeight="14" x14ac:dyDescent="0.3"/>
  <cols>
    <col min="1" max="1" width="3.69140625" style="3" customWidth="1"/>
    <col min="2" max="2" width="2.69140625" style="3" customWidth="1"/>
    <col min="3" max="9" width="9.07421875" style="3"/>
    <col min="10" max="10" width="2.3046875" style="3" customWidth="1"/>
    <col min="11" max="11" width="3.765625" style="3" customWidth="1"/>
    <col min="12" max="12" width="9.765625" style="3" customWidth="1"/>
    <col min="13" max="14" width="22.3046875" style="3" bestFit="1" customWidth="1"/>
    <col min="15" max="15" width="3.765625" style="3" customWidth="1"/>
    <col min="16" max="16" width="4.23046875" style="3" customWidth="1"/>
    <col min="17" max="17" width="9.07421875" style="3"/>
    <col min="18" max="18" width="11.07421875" style="3" customWidth="1"/>
    <col min="19" max="19" width="9.07421875" style="3"/>
    <col min="20" max="20" width="11.07421875" style="3" customWidth="1"/>
    <col min="21" max="22" width="9.07421875" style="3"/>
    <col min="23" max="23" width="5.3046875" style="3" customWidth="1"/>
    <col min="24" max="24" width="4.4609375" style="3" customWidth="1"/>
    <col min="25" max="25" width="11.765625" style="3" customWidth="1"/>
    <col min="26" max="27" width="22.3046875" style="3" bestFit="1" customWidth="1"/>
    <col min="28" max="16384" width="9.07421875" style="3"/>
  </cols>
  <sheetData>
    <row r="2" spans="2:27" ht="14.5" thickBot="1" x14ac:dyDescent="0.35"/>
    <row r="3" spans="2:27" ht="14.5" thickBot="1" x14ac:dyDescent="0.35">
      <c r="B3" s="148" t="s">
        <v>201</v>
      </c>
      <c r="C3" s="149"/>
      <c r="D3" s="149"/>
      <c r="E3" s="149"/>
      <c r="F3" s="149"/>
      <c r="G3" s="149"/>
      <c r="H3" s="149"/>
      <c r="I3" s="149"/>
      <c r="J3" s="150"/>
      <c r="L3" s="148" t="s">
        <v>194</v>
      </c>
      <c r="M3" s="149"/>
      <c r="N3" s="150"/>
      <c r="P3" s="148" t="s">
        <v>202</v>
      </c>
      <c r="Q3" s="149"/>
      <c r="R3" s="149"/>
      <c r="S3" s="149"/>
      <c r="T3" s="149"/>
      <c r="U3" s="149"/>
      <c r="V3" s="149"/>
      <c r="W3" s="150"/>
      <c r="Y3" s="148" t="s">
        <v>191</v>
      </c>
      <c r="Z3" s="149"/>
      <c r="AA3" s="150"/>
    </row>
    <row r="4" spans="2:27" ht="14.5" thickBot="1" x14ac:dyDescent="0.35">
      <c r="B4" s="9"/>
      <c r="C4" s="10"/>
      <c r="D4" s="10"/>
      <c r="E4" s="10"/>
      <c r="F4" s="10"/>
      <c r="G4" s="10"/>
      <c r="H4" s="10"/>
      <c r="I4" s="10"/>
      <c r="J4" s="14"/>
      <c r="L4" s="8" t="s">
        <v>117</v>
      </c>
      <c r="M4" s="33" t="s">
        <v>192</v>
      </c>
      <c r="N4" s="33" t="s">
        <v>193</v>
      </c>
      <c r="P4" s="9"/>
      <c r="Q4" s="10"/>
      <c r="R4" s="10"/>
      <c r="S4" s="10"/>
      <c r="T4" s="10"/>
      <c r="U4" s="10"/>
      <c r="V4" s="10"/>
      <c r="W4" s="14"/>
      <c r="Y4" s="8" t="s">
        <v>163</v>
      </c>
      <c r="Z4" s="33" t="s">
        <v>192</v>
      </c>
      <c r="AA4" s="33" t="s">
        <v>193</v>
      </c>
    </row>
    <row r="5" spans="2:27" x14ac:dyDescent="0.3">
      <c r="B5" s="4"/>
      <c r="C5" s="5"/>
      <c r="D5" s="5"/>
      <c r="E5" s="5"/>
      <c r="F5" s="5"/>
      <c r="G5" s="5"/>
      <c r="H5" s="5"/>
      <c r="I5" s="5"/>
      <c r="J5" s="6"/>
      <c r="K5" s="18"/>
      <c r="L5" s="2" t="s">
        <v>130</v>
      </c>
      <c r="M5" s="83">
        <v>0.03</v>
      </c>
      <c r="N5" s="83">
        <v>0.04</v>
      </c>
      <c r="P5" s="4"/>
      <c r="Q5" s="5"/>
      <c r="R5" s="5"/>
      <c r="S5" s="5"/>
      <c r="T5" s="5"/>
      <c r="U5" s="5"/>
      <c r="V5" s="5"/>
      <c r="W5" s="6"/>
      <c r="Y5" s="26" t="s">
        <v>133</v>
      </c>
      <c r="Z5" s="83">
        <v>0.02</v>
      </c>
      <c r="AA5" s="83">
        <v>0.02</v>
      </c>
    </row>
    <row r="6" spans="2:27" x14ac:dyDescent="0.3">
      <c r="B6" s="4"/>
      <c r="C6" s="5"/>
      <c r="D6" s="5"/>
      <c r="E6" s="5"/>
      <c r="F6" s="5"/>
      <c r="G6" s="5"/>
      <c r="H6" s="5"/>
      <c r="I6" s="5"/>
      <c r="J6" s="6"/>
      <c r="L6" s="2" t="s">
        <v>86</v>
      </c>
      <c r="M6" s="83">
        <v>0.08</v>
      </c>
      <c r="N6" s="83">
        <v>0.06</v>
      </c>
      <c r="P6" s="4"/>
      <c r="Q6" s="5"/>
      <c r="R6" s="5"/>
      <c r="S6" s="5"/>
      <c r="T6" s="5"/>
      <c r="U6" s="5"/>
      <c r="V6" s="5"/>
      <c r="W6" s="6"/>
      <c r="Y6" s="2" t="s">
        <v>134</v>
      </c>
      <c r="Z6" s="83">
        <v>0.09</v>
      </c>
      <c r="AA6" s="83">
        <v>7.0000000000000007E-2</v>
      </c>
    </row>
    <row r="7" spans="2:27" x14ac:dyDescent="0.3">
      <c r="B7" s="4"/>
      <c r="C7" s="5"/>
      <c r="D7" s="5"/>
      <c r="E7" s="5"/>
      <c r="F7" s="5"/>
      <c r="G7" s="5"/>
      <c r="H7" s="5"/>
      <c r="I7" s="5"/>
      <c r="J7" s="6"/>
      <c r="L7" s="2" t="s">
        <v>87</v>
      </c>
      <c r="M7" s="83">
        <v>7.0000000000000007E-2</v>
      </c>
      <c r="N7" s="83">
        <v>0.08</v>
      </c>
      <c r="P7" s="4"/>
      <c r="Q7" s="5"/>
      <c r="R7" s="5"/>
      <c r="S7" s="5"/>
      <c r="T7" s="5"/>
      <c r="U7" s="5"/>
      <c r="V7" s="5"/>
      <c r="W7" s="6"/>
      <c r="Y7" s="2" t="s">
        <v>48</v>
      </c>
      <c r="Z7" s="83">
        <v>0.23</v>
      </c>
      <c r="AA7" s="83">
        <v>0.16</v>
      </c>
    </row>
    <row r="8" spans="2:27" x14ac:dyDescent="0.3">
      <c r="B8" s="4"/>
      <c r="C8" s="5"/>
      <c r="D8" s="5"/>
      <c r="E8" s="5"/>
      <c r="F8" s="5"/>
      <c r="G8" s="5"/>
      <c r="H8" s="5"/>
      <c r="I8" s="5"/>
      <c r="J8" s="6"/>
      <c r="L8" s="2" t="s">
        <v>88</v>
      </c>
      <c r="M8" s="83">
        <v>7.0000000000000007E-2</v>
      </c>
      <c r="N8" s="83">
        <v>0.09</v>
      </c>
      <c r="P8" s="4"/>
      <c r="Q8" s="5"/>
      <c r="R8" s="5"/>
      <c r="S8" s="5"/>
      <c r="T8" s="5"/>
      <c r="U8" s="5"/>
      <c r="V8" s="5"/>
      <c r="W8" s="6"/>
      <c r="Y8" s="2" t="s">
        <v>49</v>
      </c>
      <c r="Z8" s="83">
        <v>0.35</v>
      </c>
      <c r="AA8" s="83">
        <v>0.32</v>
      </c>
    </row>
    <row r="9" spans="2:27" x14ac:dyDescent="0.3">
      <c r="B9" s="4"/>
      <c r="C9" s="5"/>
      <c r="D9" s="5"/>
      <c r="E9" s="5"/>
      <c r="F9" s="5"/>
      <c r="G9" s="5"/>
      <c r="H9" s="5"/>
      <c r="I9" s="5"/>
      <c r="J9" s="6"/>
      <c r="L9" s="2" t="s">
        <v>89</v>
      </c>
      <c r="M9" s="83">
        <v>0.1</v>
      </c>
      <c r="N9" s="83">
        <v>0.06</v>
      </c>
      <c r="P9" s="4"/>
      <c r="Q9" s="5"/>
      <c r="R9" s="5"/>
      <c r="S9" s="5"/>
      <c r="T9" s="5"/>
      <c r="U9" s="5"/>
      <c r="V9" s="5"/>
      <c r="W9" s="6"/>
      <c r="Y9" s="2" t="s">
        <v>50</v>
      </c>
      <c r="Z9" s="83">
        <v>0.64</v>
      </c>
      <c r="AA9" s="83">
        <v>0.63</v>
      </c>
    </row>
    <row r="10" spans="2:27" x14ac:dyDescent="0.3">
      <c r="B10" s="4"/>
      <c r="C10" s="5"/>
      <c r="D10" s="5"/>
      <c r="E10" s="5"/>
      <c r="F10" s="5"/>
      <c r="G10" s="5"/>
      <c r="H10" s="5"/>
      <c r="I10" s="5"/>
      <c r="J10" s="6"/>
      <c r="L10" s="2" t="s">
        <v>90</v>
      </c>
      <c r="M10" s="83">
        <v>0.12</v>
      </c>
      <c r="N10" s="83">
        <v>0.1</v>
      </c>
      <c r="P10" s="4"/>
      <c r="Q10" s="5"/>
      <c r="R10" s="5"/>
      <c r="S10" s="5"/>
      <c r="T10" s="5"/>
      <c r="U10" s="5"/>
      <c r="V10" s="5"/>
      <c r="W10" s="6"/>
      <c r="Y10" s="2" t="s">
        <v>51</v>
      </c>
      <c r="Z10" s="83">
        <v>1.24</v>
      </c>
      <c r="AA10" s="83">
        <v>0.85</v>
      </c>
    </row>
    <row r="11" spans="2:27" x14ac:dyDescent="0.3">
      <c r="B11" s="4"/>
      <c r="C11" s="5"/>
      <c r="D11" s="5"/>
      <c r="E11" s="5"/>
      <c r="F11" s="5"/>
      <c r="G11" s="5"/>
      <c r="H11" s="5"/>
      <c r="I11" s="5"/>
      <c r="J11" s="6"/>
      <c r="L11" s="2" t="s">
        <v>91</v>
      </c>
      <c r="M11" s="83">
        <v>0.14000000000000001</v>
      </c>
      <c r="N11" s="83">
        <v>0.16</v>
      </c>
      <c r="P11" s="4"/>
      <c r="Q11" s="5"/>
      <c r="R11" s="5"/>
      <c r="S11" s="5"/>
      <c r="T11" s="5"/>
      <c r="U11" s="5"/>
      <c r="V11" s="5"/>
      <c r="W11" s="6"/>
      <c r="Y11" s="2" t="s">
        <v>52</v>
      </c>
      <c r="Z11" s="83">
        <v>1.86</v>
      </c>
      <c r="AA11" s="83">
        <v>1.47</v>
      </c>
    </row>
    <row r="12" spans="2:27" x14ac:dyDescent="0.3">
      <c r="B12" s="4"/>
      <c r="C12" s="5"/>
      <c r="D12" s="5"/>
      <c r="E12" s="5"/>
      <c r="F12" s="5"/>
      <c r="G12" s="5"/>
      <c r="H12" s="5"/>
      <c r="I12" s="5"/>
      <c r="J12" s="6"/>
      <c r="L12" s="23" t="s">
        <v>92</v>
      </c>
      <c r="M12" s="83">
        <v>0.17</v>
      </c>
      <c r="N12" s="83">
        <v>0.19</v>
      </c>
      <c r="P12" s="4"/>
      <c r="Q12" s="5"/>
      <c r="R12" s="5"/>
      <c r="S12" s="5"/>
      <c r="T12" s="5"/>
      <c r="U12" s="5"/>
      <c r="V12" s="5"/>
      <c r="W12" s="6"/>
      <c r="Y12" s="2" t="s">
        <v>53</v>
      </c>
      <c r="Z12" s="83">
        <v>2.64</v>
      </c>
      <c r="AA12" s="83">
        <v>2.4</v>
      </c>
    </row>
    <row r="13" spans="2:27" x14ac:dyDescent="0.3">
      <c r="B13" s="4"/>
      <c r="C13" s="5"/>
      <c r="D13" s="5"/>
      <c r="E13" s="5"/>
      <c r="F13" s="5"/>
      <c r="G13" s="5"/>
      <c r="H13" s="5"/>
      <c r="I13" s="5"/>
      <c r="J13" s="6"/>
      <c r="L13" s="2" t="s">
        <v>93</v>
      </c>
      <c r="M13" s="83">
        <v>0.2</v>
      </c>
      <c r="N13" s="83">
        <v>0.21</v>
      </c>
      <c r="P13" s="4"/>
      <c r="Q13" s="5"/>
      <c r="R13" s="5"/>
      <c r="S13" s="5"/>
      <c r="T13" s="5"/>
      <c r="U13" s="5"/>
      <c r="V13" s="5"/>
      <c r="W13" s="6"/>
      <c r="Y13" s="2" t="s">
        <v>54</v>
      </c>
      <c r="Z13" s="83">
        <v>4.09</v>
      </c>
      <c r="AA13" s="83">
        <v>3.45</v>
      </c>
    </row>
    <row r="14" spans="2:27" x14ac:dyDescent="0.3">
      <c r="B14" s="4"/>
      <c r="C14" s="5"/>
      <c r="D14" s="5"/>
      <c r="E14" s="5"/>
      <c r="F14" s="5"/>
      <c r="G14" s="5"/>
      <c r="H14" s="5"/>
      <c r="I14" s="5"/>
      <c r="J14" s="6"/>
      <c r="L14" s="2" t="s">
        <v>94</v>
      </c>
      <c r="M14" s="83">
        <v>0.26</v>
      </c>
      <c r="N14" s="83">
        <v>0.24</v>
      </c>
      <c r="P14" s="4"/>
      <c r="Q14" s="5"/>
      <c r="R14" s="5"/>
      <c r="S14" s="5"/>
      <c r="T14" s="5"/>
      <c r="U14" s="5"/>
      <c r="V14" s="5"/>
      <c r="W14" s="6"/>
      <c r="Y14" s="2" t="s">
        <v>55</v>
      </c>
      <c r="Z14" s="83">
        <v>5.9</v>
      </c>
      <c r="AA14" s="83">
        <v>4.8099999999999996</v>
      </c>
    </row>
    <row r="15" spans="2:27" x14ac:dyDescent="0.3">
      <c r="B15" s="4"/>
      <c r="C15" s="5"/>
      <c r="D15" s="5"/>
      <c r="E15" s="5"/>
      <c r="F15" s="5"/>
      <c r="G15" s="5"/>
      <c r="H15" s="5"/>
      <c r="I15" s="5"/>
      <c r="J15" s="6"/>
      <c r="L15" s="2" t="s">
        <v>95</v>
      </c>
      <c r="M15" s="83">
        <v>0.34</v>
      </c>
      <c r="N15" s="83">
        <v>0.27</v>
      </c>
      <c r="P15" s="4"/>
      <c r="Q15" s="5"/>
      <c r="R15" s="5"/>
      <c r="S15" s="5"/>
      <c r="T15" s="5"/>
      <c r="U15" s="5"/>
      <c r="V15" s="5"/>
      <c r="W15" s="6"/>
      <c r="Y15" s="2" t="s">
        <v>56</v>
      </c>
      <c r="Z15" s="83">
        <v>7.97</v>
      </c>
      <c r="AA15" s="83">
        <v>6.66</v>
      </c>
    </row>
    <row r="16" spans="2:27" x14ac:dyDescent="0.3">
      <c r="B16" s="4"/>
      <c r="C16" s="5"/>
      <c r="D16" s="5"/>
      <c r="E16" s="5"/>
      <c r="F16" s="5"/>
      <c r="G16" s="5"/>
      <c r="H16" s="5"/>
      <c r="I16" s="5"/>
      <c r="J16" s="6"/>
      <c r="L16" s="2" t="s">
        <v>96</v>
      </c>
      <c r="M16" s="83">
        <v>0.35</v>
      </c>
      <c r="N16" s="83">
        <v>0.37</v>
      </c>
      <c r="P16" s="4"/>
      <c r="Q16" s="5"/>
      <c r="R16" s="5"/>
      <c r="S16" s="5"/>
      <c r="T16" s="5"/>
      <c r="U16" s="5"/>
      <c r="V16" s="5"/>
      <c r="W16" s="6"/>
      <c r="Y16" s="2" t="s">
        <v>57</v>
      </c>
      <c r="Z16" s="83">
        <v>9.76</v>
      </c>
      <c r="AA16" s="83">
        <v>8.7899999999999991</v>
      </c>
    </row>
    <row r="17" spans="2:28" x14ac:dyDescent="0.3">
      <c r="B17" s="4"/>
      <c r="C17" s="5"/>
      <c r="D17" s="5"/>
      <c r="E17" s="5"/>
      <c r="F17" s="5"/>
      <c r="G17" s="5"/>
      <c r="H17" s="5"/>
      <c r="I17" s="5"/>
      <c r="J17" s="6"/>
      <c r="L17" s="2" t="s">
        <v>97</v>
      </c>
      <c r="M17" s="83">
        <v>0.43</v>
      </c>
      <c r="N17" s="83">
        <v>0.41</v>
      </c>
      <c r="P17" s="4"/>
      <c r="Q17" s="5"/>
      <c r="R17" s="5"/>
      <c r="S17" s="5"/>
      <c r="T17" s="5"/>
      <c r="U17" s="5"/>
      <c r="V17" s="5"/>
      <c r="W17" s="6"/>
      <c r="Y17" s="2" t="s">
        <v>58</v>
      </c>
      <c r="Z17" s="83">
        <v>13.35</v>
      </c>
      <c r="AA17" s="83">
        <v>12.07</v>
      </c>
    </row>
    <row r="18" spans="2:28" x14ac:dyDescent="0.3">
      <c r="B18" s="4"/>
      <c r="C18" s="5"/>
      <c r="D18" s="5"/>
      <c r="E18" s="5"/>
      <c r="F18" s="5"/>
      <c r="G18" s="5"/>
      <c r="H18" s="5"/>
      <c r="I18" s="5"/>
      <c r="J18" s="6"/>
      <c r="L18" s="2" t="s">
        <v>98</v>
      </c>
      <c r="M18" s="83">
        <v>0.37</v>
      </c>
      <c r="N18" s="83">
        <v>0.48</v>
      </c>
      <c r="P18" s="4"/>
      <c r="Q18" s="5"/>
      <c r="R18" s="5"/>
      <c r="S18" s="5"/>
      <c r="T18" s="5"/>
      <c r="U18" s="5"/>
      <c r="V18" s="5"/>
      <c r="W18" s="6"/>
      <c r="Y18" s="2" t="s">
        <v>59</v>
      </c>
      <c r="Z18" s="83">
        <v>13.22</v>
      </c>
      <c r="AA18" s="83">
        <v>13.14</v>
      </c>
    </row>
    <row r="19" spans="2:28" x14ac:dyDescent="0.3">
      <c r="B19" s="4"/>
      <c r="C19" s="5"/>
      <c r="D19" s="5"/>
      <c r="E19" s="5"/>
      <c r="F19" s="5"/>
      <c r="G19" s="5"/>
      <c r="H19" s="5"/>
      <c r="I19" s="5"/>
      <c r="J19" s="6"/>
      <c r="L19" s="2" t="s">
        <v>99</v>
      </c>
      <c r="M19" s="83">
        <v>0.5</v>
      </c>
      <c r="N19" s="83">
        <v>0.5</v>
      </c>
      <c r="P19" s="4"/>
      <c r="Q19" s="5"/>
      <c r="R19" s="5"/>
      <c r="S19" s="5"/>
      <c r="T19" s="5"/>
      <c r="U19" s="5"/>
      <c r="V19" s="5"/>
      <c r="W19" s="6"/>
      <c r="Y19" s="2" t="s">
        <v>60</v>
      </c>
      <c r="Z19" s="83">
        <v>33.35</v>
      </c>
      <c r="AA19" s="83">
        <v>36.94</v>
      </c>
    </row>
    <row r="20" spans="2:28" x14ac:dyDescent="0.3">
      <c r="B20" s="4"/>
      <c r="C20" s="5"/>
      <c r="D20" s="5"/>
      <c r="E20" s="5"/>
      <c r="F20" s="5"/>
      <c r="G20" s="5"/>
      <c r="H20" s="5"/>
      <c r="I20" s="5"/>
      <c r="J20" s="6"/>
      <c r="L20" s="2" t="s">
        <v>100</v>
      </c>
      <c r="M20" s="83">
        <v>0.53</v>
      </c>
      <c r="N20" s="83">
        <v>0.52</v>
      </c>
      <c r="P20" s="4"/>
      <c r="Q20" s="5"/>
      <c r="R20" s="5"/>
      <c r="S20" s="5"/>
      <c r="T20" s="5"/>
      <c r="U20" s="5"/>
      <c r="V20" s="5"/>
      <c r="W20" s="6"/>
      <c r="Y20" s="2" t="s">
        <v>61</v>
      </c>
      <c r="Z20" s="83">
        <v>1.47</v>
      </c>
      <c r="AA20" s="83">
        <v>2.08</v>
      </c>
    </row>
    <row r="21" spans="2:28" x14ac:dyDescent="0.3">
      <c r="B21" s="4"/>
      <c r="C21" s="5"/>
      <c r="D21" s="5"/>
      <c r="E21" s="5"/>
      <c r="F21" s="5"/>
      <c r="G21" s="5"/>
      <c r="H21" s="5"/>
      <c r="I21" s="5"/>
      <c r="J21" s="6"/>
      <c r="L21" s="2" t="s">
        <v>101</v>
      </c>
      <c r="M21" s="83">
        <v>0.64</v>
      </c>
      <c r="N21" s="83">
        <v>0.67</v>
      </c>
      <c r="P21" s="4"/>
      <c r="Q21" s="5"/>
      <c r="R21" s="5"/>
      <c r="S21" s="5"/>
      <c r="T21" s="5"/>
      <c r="U21" s="5"/>
      <c r="V21" s="5"/>
      <c r="W21" s="6"/>
      <c r="Y21" s="2" t="s">
        <v>132</v>
      </c>
      <c r="Z21" s="83">
        <v>2.52</v>
      </c>
      <c r="AA21" s="83">
        <v>3.98</v>
      </c>
    </row>
    <row r="22" spans="2:28" ht="14.5" thickBot="1" x14ac:dyDescent="0.35">
      <c r="B22" s="4"/>
      <c r="C22" s="5"/>
      <c r="D22" s="5"/>
      <c r="E22" s="5"/>
      <c r="F22" s="5"/>
      <c r="G22" s="5"/>
      <c r="H22" s="5"/>
      <c r="I22" s="5"/>
      <c r="J22" s="6"/>
      <c r="L22" s="2" t="s">
        <v>102</v>
      </c>
      <c r="M22" s="83">
        <v>0.84</v>
      </c>
      <c r="N22" s="83">
        <v>0.91</v>
      </c>
      <c r="P22" s="4"/>
      <c r="Q22" s="5"/>
      <c r="R22" s="5"/>
      <c r="S22" s="5"/>
      <c r="T22" s="5"/>
      <c r="U22" s="5"/>
      <c r="V22" s="5"/>
      <c r="W22" s="6"/>
      <c r="Y22" s="2" t="s">
        <v>135</v>
      </c>
      <c r="Z22" s="83">
        <v>1.28</v>
      </c>
      <c r="AA22" s="83">
        <v>2.17</v>
      </c>
    </row>
    <row r="23" spans="2:28" x14ac:dyDescent="0.3">
      <c r="B23" s="4"/>
      <c r="C23" s="5"/>
      <c r="D23" s="5"/>
      <c r="E23" s="5"/>
      <c r="F23" s="5"/>
      <c r="G23" s="5"/>
      <c r="H23" s="5"/>
      <c r="I23" s="5"/>
      <c r="J23" s="6"/>
      <c r="L23" s="2" t="s">
        <v>103</v>
      </c>
      <c r="M23" s="83">
        <v>0.78</v>
      </c>
      <c r="N23" s="83">
        <v>0.76</v>
      </c>
      <c r="P23" s="4"/>
      <c r="Q23" s="5"/>
      <c r="R23" s="5"/>
      <c r="S23" s="5"/>
      <c r="T23" s="5"/>
      <c r="U23" s="5"/>
      <c r="V23" s="5"/>
      <c r="W23" s="6"/>
      <c r="Y23" s="54" t="s">
        <v>158</v>
      </c>
      <c r="Z23" s="10"/>
      <c r="AA23" s="14"/>
    </row>
    <row r="24" spans="2:28" ht="14.5" thickBot="1" x14ac:dyDescent="0.35">
      <c r="B24" s="7"/>
      <c r="C24" s="11"/>
      <c r="D24" s="11"/>
      <c r="E24" s="11"/>
      <c r="F24" s="11"/>
      <c r="G24" s="11"/>
      <c r="H24" s="11"/>
      <c r="I24" s="11"/>
      <c r="J24" s="15"/>
      <c r="L24" s="2" t="s">
        <v>104</v>
      </c>
      <c r="M24" s="83">
        <v>0.8</v>
      </c>
      <c r="N24" s="83">
        <v>0.85</v>
      </c>
      <c r="P24" s="7"/>
      <c r="Q24" s="11"/>
      <c r="R24" s="11"/>
      <c r="S24" s="11"/>
      <c r="T24" s="11"/>
      <c r="U24" s="11"/>
      <c r="V24" s="11"/>
      <c r="W24" s="15"/>
      <c r="Y24" s="43" t="s">
        <v>156</v>
      </c>
      <c r="Z24" s="11"/>
      <c r="AA24" s="15"/>
    </row>
    <row r="25" spans="2:28" x14ac:dyDescent="0.3">
      <c r="L25" s="2" t="s">
        <v>105</v>
      </c>
      <c r="M25" s="83">
        <v>0.96</v>
      </c>
      <c r="N25" s="83">
        <v>0.88</v>
      </c>
    </row>
    <row r="26" spans="2:28" x14ac:dyDescent="0.3">
      <c r="H26" s="18"/>
      <c r="I26" s="18"/>
      <c r="L26" s="2" t="s">
        <v>106</v>
      </c>
      <c r="M26" s="83">
        <v>1.03</v>
      </c>
      <c r="N26" s="83">
        <v>1</v>
      </c>
    </row>
    <row r="27" spans="2:28" x14ac:dyDescent="0.3">
      <c r="H27" s="18"/>
      <c r="I27" s="18"/>
      <c r="L27" s="2" t="s">
        <v>107</v>
      </c>
      <c r="M27" s="83">
        <v>1.39</v>
      </c>
      <c r="N27" s="83">
        <v>1.34</v>
      </c>
      <c r="Q27" s="18"/>
      <c r="R27" s="18"/>
      <c r="S27" s="18"/>
      <c r="V27" s="20"/>
      <c r="W27" s="13"/>
    </row>
    <row r="28" spans="2:28" x14ac:dyDescent="0.3">
      <c r="H28" s="18"/>
      <c r="I28" s="18"/>
      <c r="L28" s="2" t="s">
        <v>108</v>
      </c>
      <c r="M28" s="83">
        <v>1.2</v>
      </c>
      <c r="N28" s="83">
        <v>1.06</v>
      </c>
      <c r="Q28" s="18"/>
      <c r="R28" s="18"/>
      <c r="S28" s="18"/>
      <c r="V28" s="20"/>
      <c r="W28" s="13"/>
    </row>
    <row r="29" spans="2:28" x14ac:dyDescent="0.3">
      <c r="H29" s="18"/>
      <c r="I29" s="18"/>
      <c r="L29" s="2" t="s">
        <v>109</v>
      </c>
      <c r="M29" s="83">
        <v>1.48</v>
      </c>
      <c r="N29" s="83">
        <v>1.41</v>
      </c>
      <c r="Q29" s="18"/>
      <c r="R29" s="18"/>
      <c r="S29" s="18"/>
      <c r="V29" s="20"/>
      <c r="W29" s="20"/>
      <c r="AB29" s="13"/>
    </row>
    <row r="30" spans="2:28" x14ac:dyDescent="0.3">
      <c r="E30" s="18"/>
      <c r="F30" s="18"/>
      <c r="H30" s="18"/>
      <c r="I30" s="18"/>
      <c r="L30" s="2" t="s">
        <v>110</v>
      </c>
      <c r="M30" s="83">
        <v>1.33</v>
      </c>
      <c r="N30" s="83">
        <v>1.37</v>
      </c>
      <c r="Q30" s="18"/>
      <c r="R30" s="18"/>
      <c r="S30" s="18"/>
      <c r="W30" s="20"/>
      <c r="AB30" s="13"/>
    </row>
    <row r="31" spans="2:28" x14ac:dyDescent="0.3">
      <c r="E31" s="18"/>
      <c r="F31" s="18"/>
      <c r="H31" s="18"/>
      <c r="I31" s="18"/>
      <c r="L31" s="2" t="s">
        <v>111</v>
      </c>
      <c r="M31" s="83">
        <v>1.73</v>
      </c>
      <c r="N31" s="83">
        <v>1.6</v>
      </c>
      <c r="Q31" s="18"/>
      <c r="R31" s="18"/>
      <c r="S31" s="18"/>
      <c r="W31" s="20"/>
      <c r="AB31" s="13"/>
    </row>
    <row r="32" spans="2:28" x14ac:dyDescent="0.3">
      <c r="E32" s="18"/>
      <c r="F32" s="18"/>
      <c r="H32" s="18"/>
      <c r="I32" s="18"/>
      <c r="L32" s="2" t="s">
        <v>131</v>
      </c>
      <c r="M32" s="83">
        <v>3.59</v>
      </c>
      <c r="N32" s="83">
        <v>3.36</v>
      </c>
      <c r="Q32" s="18"/>
      <c r="R32" s="18"/>
      <c r="S32" s="18"/>
      <c r="W32" s="20"/>
      <c r="AB32" s="13"/>
    </row>
    <row r="33" spans="5:28" x14ac:dyDescent="0.3">
      <c r="E33" s="18"/>
      <c r="F33" s="18"/>
      <c r="H33" s="18"/>
      <c r="I33" s="18"/>
      <c r="L33" s="2" t="s">
        <v>112</v>
      </c>
      <c r="M33" s="83">
        <v>3.9</v>
      </c>
      <c r="N33" s="83">
        <v>3.26</v>
      </c>
      <c r="Q33" s="18"/>
      <c r="R33" s="18"/>
      <c r="S33" s="18"/>
      <c r="W33" s="20"/>
      <c r="AB33" s="13"/>
    </row>
    <row r="34" spans="5:28" x14ac:dyDescent="0.3">
      <c r="E34" s="18"/>
      <c r="F34" s="18"/>
      <c r="H34" s="18"/>
      <c r="I34" s="18"/>
      <c r="L34" s="2" t="s">
        <v>113</v>
      </c>
      <c r="M34" s="83">
        <v>3.23</v>
      </c>
      <c r="N34" s="83">
        <v>3.18</v>
      </c>
      <c r="Q34" s="18"/>
      <c r="R34" s="18"/>
      <c r="S34" s="18"/>
      <c r="W34" s="20"/>
      <c r="AB34" s="13"/>
    </row>
    <row r="35" spans="5:28" x14ac:dyDescent="0.3">
      <c r="E35" s="18"/>
      <c r="F35" s="18"/>
      <c r="H35" s="18"/>
      <c r="I35" s="18"/>
      <c r="L35" s="2" t="s">
        <v>114</v>
      </c>
      <c r="M35" s="83">
        <v>3.39</v>
      </c>
      <c r="N35" s="83">
        <v>3.31</v>
      </c>
      <c r="Q35" s="18"/>
      <c r="R35" s="18"/>
      <c r="S35" s="18"/>
      <c r="W35" s="20"/>
      <c r="AB35" s="13"/>
    </row>
    <row r="36" spans="5:28" x14ac:dyDescent="0.3">
      <c r="E36" s="18"/>
      <c r="F36" s="18"/>
      <c r="H36" s="18"/>
      <c r="I36" s="18"/>
      <c r="L36" s="2" t="s">
        <v>115</v>
      </c>
      <c r="M36" s="83">
        <v>3.68</v>
      </c>
      <c r="N36" s="83">
        <v>3.64</v>
      </c>
      <c r="Q36" s="18"/>
      <c r="R36" s="18"/>
      <c r="S36" s="18"/>
      <c r="W36" s="20"/>
      <c r="AB36" s="13"/>
    </row>
    <row r="37" spans="5:28" x14ac:dyDescent="0.3">
      <c r="E37" s="18"/>
      <c r="F37" s="18"/>
      <c r="H37" s="18"/>
      <c r="I37" s="18"/>
      <c r="L37" s="2" t="s">
        <v>116</v>
      </c>
      <c r="M37" s="83">
        <v>5.9</v>
      </c>
      <c r="N37" s="83">
        <v>5.7</v>
      </c>
      <c r="Q37" s="18"/>
      <c r="R37" s="18"/>
      <c r="S37" s="18"/>
      <c r="W37" s="20"/>
      <c r="AB37" s="13"/>
    </row>
    <row r="38" spans="5:28" x14ac:dyDescent="0.3">
      <c r="E38" s="18"/>
      <c r="F38" s="18"/>
      <c r="H38" s="18"/>
      <c r="I38" s="18"/>
      <c r="L38" s="2" t="s">
        <v>118</v>
      </c>
      <c r="M38" s="83">
        <v>4.13</v>
      </c>
      <c r="N38" s="83">
        <v>4.42</v>
      </c>
      <c r="Q38" s="18"/>
      <c r="R38" s="18"/>
      <c r="S38" s="18"/>
      <c r="W38" s="20"/>
      <c r="AB38" s="13"/>
    </row>
    <row r="39" spans="5:28" x14ac:dyDescent="0.3">
      <c r="E39" s="18"/>
      <c r="F39" s="18"/>
      <c r="H39" s="18"/>
      <c r="I39" s="18"/>
      <c r="L39" s="2" t="s">
        <v>119</v>
      </c>
      <c r="M39" s="83">
        <v>4.28</v>
      </c>
      <c r="N39" s="83">
        <v>4.29</v>
      </c>
      <c r="Q39" s="18"/>
      <c r="R39" s="18"/>
      <c r="S39" s="18"/>
      <c r="W39" s="20"/>
      <c r="AB39" s="13"/>
    </row>
    <row r="40" spans="5:28" x14ac:dyDescent="0.3">
      <c r="E40" s="18"/>
      <c r="F40" s="18"/>
      <c r="H40" s="18"/>
      <c r="I40" s="18"/>
      <c r="L40" s="2" t="s">
        <v>120</v>
      </c>
      <c r="M40" s="83">
        <v>5.2</v>
      </c>
      <c r="N40" s="83">
        <v>5.44</v>
      </c>
      <c r="Q40" s="18"/>
      <c r="R40" s="18"/>
      <c r="S40" s="18"/>
      <c r="W40" s="20"/>
      <c r="AB40" s="13"/>
    </row>
    <row r="41" spans="5:28" x14ac:dyDescent="0.3">
      <c r="E41" s="18"/>
      <c r="F41" s="18"/>
      <c r="H41" s="18"/>
      <c r="I41" s="18"/>
      <c r="L41" s="2" t="s">
        <v>121</v>
      </c>
      <c r="M41" s="83">
        <v>5.9</v>
      </c>
      <c r="N41" s="83">
        <v>5.79</v>
      </c>
      <c r="Q41" s="18"/>
      <c r="R41" s="18"/>
      <c r="S41" s="18"/>
      <c r="W41" s="20"/>
    </row>
    <row r="42" spans="5:28" x14ac:dyDescent="0.3">
      <c r="E42" s="18"/>
      <c r="F42" s="18"/>
      <c r="H42" s="18"/>
      <c r="I42" s="18"/>
      <c r="L42" s="2" t="s">
        <v>138</v>
      </c>
      <c r="M42" s="83">
        <v>40.840000000000003</v>
      </c>
      <c r="N42" s="83">
        <v>41.97</v>
      </c>
      <c r="Q42" s="18"/>
      <c r="R42" s="18"/>
      <c r="S42" s="18"/>
      <c r="W42" s="20"/>
    </row>
    <row r="43" spans="5:28" ht="14.5" thickBot="1" x14ac:dyDescent="0.35">
      <c r="E43" s="18"/>
      <c r="F43" s="18"/>
      <c r="H43" s="18"/>
      <c r="I43" s="18"/>
      <c r="L43" s="12" t="s">
        <v>129</v>
      </c>
      <c r="M43" s="83">
        <v>0.02</v>
      </c>
      <c r="N43" s="83">
        <v>0.02</v>
      </c>
      <c r="Q43" s="18"/>
      <c r="R43" s="18"/>
      <c r="S43" s="18"/>
      <c r="W43" s="20"/>
    </row>
    <row r="44" spans="5:28" x14ac:dyDescent="0.3">
      <c r="E44" s="18"/>
      <c r="F44" s="18"/>
      <c r="H44" s="18"/>
      <c r="I44" s="18"/>
      <c r="L44" s="54" t="s">
        <v>159</v>
      </c>
      <c r="M44" s="10"/>
      <c r="N44" s="14"/>
      <c r="Q44" s="18"/>
      <c r="R44" s="18"/>
      <c r="S44" s="18"/>
      <c r="W44" s="20"/>
    </row>
    <row r="45" spans="5:28" ht="14.5" thickBot="1" x14ac:dyDescent="0.35">
      <c r="E45" s="18"/>
      <c r="F45" s="18"/>
      <c r="H45" s="18"/>
      <c r="I45" s="18"/>
      <c r="L45" s="43" t="s">
        <v>156</v>
      </c>
      <c r="M45" s="11"/>
      <c r="N45" s="15"/>
      <c r="Q45" s="18"/>
      <c r="R45" s="18"/>
      <c r="S45" s="18"/>
      <c r="W45" s="20"/>
    </row>
    <row r="46" spans="5:28" x14ac:dyDescent="0.3">
      <c r="E46" s="18"/>
      <c r="F46" s="18"/>
      <c r="H46" s="18"/>
      <c r="I46" s="18"/>
      <c r="Q46" s="18"/>
      <c r="R46" s="18"/>
      <c r="S46" s="18"/>
      <c r="W46" s="18"/>
      <c r="X46" s="20"/>
    </row>
    <row r="47" spans="5:28" x14ac:dyDescent="0.3">
      <c r="E47" s="18"/>
      <c r="F47" s="18"/>
      <c r="H47" s="18"/>
      <c r="I47" s="18"/>
      <c r="M47" s="18"/>
      <c r="N47" s="18"/>
      <c r="Q47" s="18"/>
      <c r="R47" s="18"/>
      <c r="S47" s="18"/>
      <c r="W47" s="18"/>
      <c r="X47" s="20"/>
      <c r="Z47" s="18"/>
      <c r="AA47" s="18"/>
    </row>
    <row r="48" spans="5:28" x14ac:dyDescent="0.3">
      <c r="E48" s="18"/>
      <c r="F48" s="18"/>
      <c r="H48" s="18"/>
      <c r="I48" s="18"/>
      <c r="M48" s="20"/>
      <c r="N48" s="20"/>
      <c r="Q48" s="18"/>
      <c r="R48" s="18"/>
      <c r="S48" s="18"/>
      <c r="Z48" s="20"/>
      <c r="AA48" s="20"/>
    </row>
    <row r="49" spans="5:19" x14ac:dyDescent="0.3">
      <c r="E49" s="18"/>
      <c r="F49" s="18"/>
      <c r="H49" s="18"/>
      <c r="I49" s="18"/>
      <c r="Q49" s="18"/>
      <c r="R49" s="18"/>
      <c r="S49" s="18"/>
    </row>
    <row r="50" spans="5:19" x14ac:dyDescent="0.3">
      <c r="E50" s="18"/>
      <c r="F50" s="18"/>
      <c r="H50" s="18"/>
      <c r="I50" s="18"/>
      <c r="Q50" s="18"/>
      <c r="R50" s="18"/>
      <c r="S50" s="18"/>
    </row>
    <row r="51" spans="5:19" x14ac:dyDescent="0.3">
      <c r="E51" s="18"/>
      <c r="F51" s="18"/>
      <c r="H51" s="18"/>
      <c r="I51" s="18"/>
      <c r="Q51" s="18"/>
      <c r="R51" s="18"/>
      <c r="S51" s="18"/>
    </row>
    <row r="52" spans="5:19" x14ac:dyDescent="0.3">
      <c r="E52" s="18"/>
      <c r="F52" s="18"/>
      <c r="Q52" s="18"/>
      <c r="R52" s="18"/>
      <c r="S52" s="18"/>
    </row>
    <row r="53" spans="5:19" x14ac:dyDescent="0.3">
      <c r="E53" s="18"/>
      <c r="F53" s="18"/>
      <c r="Q53" s="18"/>
      <c r="R53" s="18"/>
      <c r="S53" s="18"/>
    </row>
    <row r="54" spans="5:19" x14ac:dyDescent="0.3">
      <c r="E54" s="18"/>
      <c r="F54" s="18"/>
      <c r="Q54" s="18"/>
      <c r="R54" s="18"/>
      <c r="S54" s="18"/>
    </row>
    <row r="55" spans="5:19" x14ac:dyDescent="0.3">
      <c r="E55" s="18"/>
      <c r="F55" s="18"/>
      <c r="Q55" s="18"/>
      <c r="R55" s="18"/>
      <c r="S55" s="18"/>
    </row>
    <row r="56" spans="5:19" x14ac:dyDescent="0.3">
      <c r="E56" s="18"/>
      <c r="F56" s="18"/>
      <c r="Q56" s="18"/>
      <c r="R56" s="18"/>
      <c r="S56" s="18"/>
    </row>
    <row r="57" spans="5:19" x14ac:dyDescent="0.3">
      <c r="E57" s="18"/>
      <c r="F57" s="18"/>
      <c r="Q57" s="18"/>
      <c r="R57" s="18"/>
      <c r="S57" s="18"/>
    </row>
    <row r="58" spans="5:19" x14ac:dyDescent="0.3">
      <c r="E58" s="18"/>
      <c r="F58" s="18"/>
      <c r="Q58" s="18"/>
      <c r="R58" s="18"/>
      <c r="S58" s="18"/>
    </row>
    <row r="59" spans="5:19" x14ac:dyDescent="0.3">
      <c r="E59" s="18"/>
      <c r="F59" s="18"/>
      <c r="Q59" s="18"/>
      <c r="R59" s="18"/>
      <c r="S59" s="18"/>
    </row>
    <row r="60" spans="5:19" x14ac:dyDescent="0.3">
      <c r="E60" s="18"/>
      <c r="F60" s="18"/>
      <c r="Q60" s="18"/>
      <c r="R60" s="18"/>
      <c r="S60" s="18"/>
    </row>
    <row r="61" spans="5:19" x14ac:dyDescent="0.3">
      <c r="E61" s="18"/>
      <c r="F61" s="18"/>
      <c r="Q61" s="18"/>
      <c r="R61" s="18"/>
      <c r="S61" s="18"/>
    </row>
    <row r="62" spans="5:19" x14ac:dyDescent="0.3">
      <c r="E62" s="18"/>
      <c r="F62" s="18"/>
      <c r="Q62" s="18"/>
      <c r="R62" s="18"/>
      <c r="S62" s="18"/>
    </row>
    <row r="63" spans="5:19" x14ac:dyDescent="0.3">
      <c r="E63" s="18"/>
      <c r="F63" s="18"/>
      <c r="Q63" s="18"/>
      <c r="R63" s="18"/>
      <c r="S63" s="18"/>
    </row>
    <row r="64" spans="5:19" x14ac:dyDescent="0.3">
      <c r="E64" s="18"/>
      <c r="F64" s="18"/>
      <c r="Q64" s="18"/>
      <c r="R64" s="18"/>
      <c r="S64" s="18"/>
    </row>
    <row r="65" spans="2:19" x14ac:dyDescent="0.3">
      <c r="E65" s="18"/>
      <c r="F65" s="18"/>
      <c r="Q65" s="18"/>
      <c r="R65" s="18"/>
      <c r="S65" s="18"/>
    </row>
    <row r="66" spans="2:19" x14ac:dyDescent="0.3">
      <c r="E66" s="18"/>
      <c r="F66" s="18"/>
      <c r="O66" s="18"/>
      <c r="P66" s="18"/>
      <c r="Q66" s="18"/>
      <c r="R66" s="18"/>
      <c r="S66" s="18"/>
    </row>
    <row r="67" spans="2:19" x14ac:dyDescent="0.3">
      <c r="E67" s="18"/>
      <c r="F67" s="18"/>
      <c r="Q67" s="18"/>
      <c r="R67" s="18"/>
      <c r="S67" s="18"/>
    </row>
    <row r="68" spans="2:19" x14ac:dyDescent="0.3">
      <c r="E68" s="18"/>
      <c r="F68" s="18"/>
      <c r="Q68" s="18"/>
      <c r="R68" s="18"/>
      <c r="S68" s="18"/>
    </row>
    <row r="69" spans="2:19" x14ac:dyDescent="0.3">
      <c r="E69" s="18"/>
      <c r="F69" s="18"/>
      <c r="Q69" s="18"/>
      <c r="R69" s="18"/>
      <c r="S69" s="18"/>
    </row>
    <row r="70" spans="2:19" x14ac:dyDescent="0.3">
      <c r="Q70" s="18"/>
      <c r="R70" s="18"/>
      <c r="S70" s="18"/>
    </row>
    <row r="71" spans="2:19" x14ac:dyDescent="0.3">
      <c r="Q71" s="18"/>
      <c r="R71" s="18"/>
      <c r="S71" s="18"/>
    </row>
    <row r="72" spans="2:19" x14ac:dyDescent="0.3">
      <c r="B72" s="3">
        <f>SUM(B65:B69)</f>
        <v>0</v>
      </c>
      <c r="Q72" s="18"/>
      <c r="R72" s="18"/>
      <c r="S72" s="18"/>
    </row>
    <row r="73" spans="2:19" x14ac:dyDescent="0.3">
      <c r="Q73" s="18"/>
      <c r="R73" s="18"/>
      <c r="S73" s="18"/>
    </row>
    <row r="74" spans="2:19" x14ac:dyDescent="0.3">
      <c r="Q74" s="18"/>
      <c r="R74" s="18"/>
      <c r="S74" s="18"/>
    </row>
    <row r="75" spans="2:19" x14ac:dyDescent="0.3">
      <c r="Q75" s="18"/>
      <c r="R75" s="18"/>
      <c r="S75" s="18"/>
    </row>
    <row r="76" spans="2:19" x14ac:dyDescent="0.3">
      <c r="Q76" s="18"/>
      <c r="R76" s="18"/>
      <c r="S76" s="18"/>
    </row>
    <row r="77" spans="2:19" x14ac:dyDescent="0.3">
      <c r="Q77" s="18"/>
      <c r="R77" s="18"/>
      <c r="S77" s="18"/>
    </row>
    <row r="78" spans="2:19" x14ac:dyDescent="0.3">
      <c r="Q78" s="18"/>
      <c r="R78" s="18"/>
      <c r="S78" s="18"/>
    </row>
    <row r="79" spans="2:19" x14ac:dyDescent="0.3">
      <c r="Q79" s="18"/>
      <c r="R79" s="18"/>
      <c r="S79" s="18"/>
    </row>
    <row r="80" spans="2:19" x14ac:dyDescent="0.3">
      <c r="Q80" s="18"/>
      <c r="R80" s="18"/>
      <c r="S80" s="18"/>
    </row>
    <row r="81" spans="17:19" x14ac:dyDescent="0.3">
      <c r="Q81" s="18"/>
      <c r="R81" s="18"/>
      <c r="S81" s="18"/>
    </row>
    <row r="82" spans="17:19" x14ac:dyDescent="0.3">
      <c r="Q82" s="18"/>
      <c r="R82" s="18"/>
      <c r="S82" s="18"/>
    </row>
    <row r="83" spans="17:19" x14ac:dyDescent="0.3">
      <c r="Q83" s="18"/>
      <c r="R83" s="18"/>
      <c r="S83" s="18"/>
    </row>
    <row r="84" spans="17:19" x14ac:dyDescent="0.3">
      <c r="Q84" s="18"/>
      <c r="R84" s="18"/>
      <c r="S84" s="18"/>
    </row>
    <row r="85" spans="17:19" x14ac:dyDescent="0.3">
      <c r="Q85" s="18"/>
      <c r="R85" s="18"/>
      <c r="S85" s="18"/>
    </row>
    <row r="86" spans="17:19" x14ac:dyDescent="0.3">
      <c r="Q86" s="18"/>
      <c r="R86" s="18"/>
      <c r="S86" s="18"/>
    </row>
    <row r="87" spans="17:19" x14ac:dyDescent="0.3">
      <c r="Q87" s="18"/>
      <c r="R87" s="18"/>
      <c r="S87" s="18"/>
    </row>
    <row r="88" spans="17:19" x14ac:dyDescent="0.3">
      <c r="Q88" s="18"/>
      <c r="R88" s="18"/>
      <c r="S88" s="18"/>
    </row>
    <row r="89" spans="17:19" x14ac:dyDescent="0.3">
      <c r="Q89" s="18"/>
      <c r="R89" s="18"/>
      <c r="S89" s="18"/>
    </row>
    <row r="90" spans="17:19" x14ac:dyDescent="0.3">
      <c r="Q90" s="18"/>
      <c r="R90" s="18"/>
      <c r="S90" s="18"/>
    </row>
    <row r="91" spans="17:19" x14ac:dyDescent="0.3">
      <c r="Q91" s="18"/>
      <c r="R91" s="18"/>
      <c r="S91" s="18"/>
    </row>
    <row r="92" spans="17:19" x14ac:dyDescent="0.3">
      <c r="Q92" s="18"/>
      <c r="R92" s="18"/>
      <c r="S92" s="18"/>
    </row>
    <row r="93" spans="17:19" x14ac:dyDescent="0.3">
      <c r="Q93" s="18"/>
      <c r="R93" s="18"/>
      <c r="S93" s="18"/>
    </row>
    <row r="94" spans="17:19" x14ac:dyDescent="0.3">
      <c r="Q94" s="18"/>
      <c r="R94" s="18"/>
      <c r="S94" s="18"/>
    </row>
    <row r="95" spans="17:19" x14ac:dyDescent="0.3">
      <c r="Q95" s="18"/>
      <c r="R95" s="18"/>
      <c r="S95" s="18"/>
    </row>
    <row r="102" spans="4:8" x14ac:dyDescent="0.3">
      <c r="H102" s="17"/>
    </row>
    <row r="103" spans="4:8" x14ac:dyDescent="0.3">
      <c r="H103" s="17"/>
    </row>
    <row r="106" spans="4:8" x14ac:dyDescent="0.3">
      <c r="D106" s="17"/>
    </row>
    <row r="107" spans="4:8" x14ac:dyDescent="0.3">
      <c r="D107" s="17"/>
    </row>
    <row r="111" spans="4:8" x14ac:dyDescent="0.3">
      <c r="H111" s="17"/>
    </row>
    <row r="112" spans="4:8" x14ac:dyDescent="0.3">
      <c r="H112" s="17"/>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L3:N3"/>
    <mergeCell ref="B3:J3"/>
    <mergeCell ref="P3:W3"/>
    <mergeCell ref="Y3:AA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pageSetUpPr autoPageBreaks="0"/>
  </sheetPr>
  <dimension ref="B2:J68"/>
  <sheetViews>
    <sheetView zoomScaleNormal="100" workbookViewId="0"/>
  </sheetViews>
  <sheetFormatPr defaultColWidth="9.07421875" defaultRowHeight="14.5" customHeight="1" x14ac:dyDescent="0.3"/>
  <cols>
    <col min="1" max="1" width="6.53515625" style="3" customWidth="1"/>
    <col min="2" max="2" width="27.69140625" style="3" customWidth="1"/>
    <col min="3" max="4" width="22.3046875" style="3" customWidth="1"/>
    <col min="5" max="5" width="9.07421875" style="20"/>
    <col min="6" max="6" width="12.07421875" style="3" customWidth="1"/>
    <col min="7" max="16384" width="9.07421875" style="3"/>
  </cols>
  <sheetData>
    <row r="2" spans="2:10" thickBot="1" x14ac:dyDescent="0.35"/>
    <row r="3" spans="2:10" thickBot="1" x14ac:dyDescent="0.35">
      <c r="B3" s="161" t="s">
        <v>179</v>
      </c>
      <c r="C3" s="162"/>
      <c r="D3" s="163"/>
    </row>
    <row r="4" spans="2:10" thickBot="1" x14ac:dyDescent="0.35">
      <c r="B4" s="9"/>
      <c r="C4" s="8">
        <v>2024</v>
      </c>
      <c r="D4" s="8">
        <v>2025</v>
      </c>
    </row>
    <row r="5" spans="2:10" ht="14" x14ac:dyDescent="0.3">
      <c r="B5" s="75" t="s">
        <v>32</v>
      </c>
      <c r="C5" s="76"/>
      <c r="D5" s="76"/>
    </row>
    <row r="6" spans="2:10" ht="14" x14ac:dyDescent="0.3">
      <c r="B6" s="4" t="s">
        <v>20</v>
      </c>
      <c r="C6" s="81">
        <v>359898.03</v>
      </c>
      <c r="D6" s="81">
        <v>384249.95</v>
      </c>
      <c r="F6" s="18"/>
      <c r="G6" s="18"/>
      <c r="H6" s="17"/>
      <c r="I6" s="18"/>
      <c r="J6" s="18"/>
    </row>
    <row r="7" spans="2:10" ht="14" x14ac:dyDescent="0.3">
      <c r="B7" s="4" t="s">
        <v>21</v>
      </c>
      <c r="C7" s="81">
        <v>570043.57999999996</v>
      </c>
      <c r="D7" s="81">
        <v>605527.99</v>
      </c>
      <c r="F7" s="18"/>
      <c r="G7" s="18"/>
      <c r="H7" s="17"/>
      <c r="I7" s="18"/>
      <c r="J7" s="18"/>
    </row>
    <row r="8" spans="2:10" ht="14" x14ac:dyDescent="0.3">
      <c r="B8" s="4" t="s">
        <v>22</v>
      </c>
      <c r="C8" s="78">
        <v>65.69</v>
      </c>
      <c r="D8" s="78">
        <v>65.717487000000006</v>
      </c>
      <c r="E8" s="84"/>
      <c r="F8" s="18"/>
      <c r="G8" s="18"/>
      <c r="H8" s="17"/>
      <c r="I8" s="18"/>
      <c r="J8" s="18"/>
    </row>
    <row r="9" spans="2:10" ht="14" x14ac:dyDescent="0.3">
      <c r="B9" s="4" t="s">
        <v>23</v>
      </c>
      <c r="C9" s="81">
        <v>138341.32999999999</v>
      </c>
      <c r="D9" s="81">
        <v>146280.95000000001</v>
      </c>
      <c r="F9" s="18"/>
      <c r="G9" s="18"/>
      <c r="H9" s="17"/>
      <c r="I9" s="18"/>
      <c r="J9" s="18"/>
    </row>
    <row r="10" spans="2:10" ht="14" x14ac:dyDescent="0.3">
      <c r="B10" s="4" t="s">
        <v>24</v>
      </c>
      <c r="C10" s="78">
        <v>2.71</v>
      </c>
      <c r="D10" s="78">
        <v>2.7426360999999999</v>
      </c>
      <c r="F10" s="18"/>
      <c r="G10" s="18"/>
      <c r="H10" s="85"/>
      <c r="I10" s="18"/>
      <c r="J10" s="18"/>
    </row>
    <row r="11" spans="2:10" ht="14" x14ac:dyDescent="0.3">
      <c r="B11" s="4" t="s">
        <v>25</v>
      </c>
      <c r="C11" s="81">
        <v>24.24</v>
      </c>
      <c r="D11" s="81">
        <v>24.384536000000001</v>
      </c>
      <c r="F11" s="18"/>
      <c r="G11" s="18"/>
      <c r="H11" s="85"/>
      <c r="I11" s="18"/>
      <c r="J11" s="18"/>
    </row>
    <row r="12" spans="2:10" ht="14" x14ac:dyDescent="0.3">
      <c r="B12" s="4" t="s">
        <v>26</v>
      </c>
      <c r="C12" s="81">
        <v>1658.78</v>
      </c>
      <c r="D12" s="81">
        <v>1643.8150000000001</v>
      </c>
      <c r="E12" s="84"/>
      <c r="F12" s="18"/>
      <c r="G12" s="18"/>
      <c r="H12" s="85"/>
      <c r="I12" s="18"/>
      <c r="J12" s="18"/>
    </row>
    <row r="13" spans="2:10" ht="14" x14ac:dyDescent="0.3">
      <c r="B13" s="4" t="s">
        <v>27</v>
      </c>
      <c r="C13" s="78">
        <v>3.99</v>
      </c>
      <c r="D13" s="78">
        <v>3.62</v>
      </c>
      <c r="F13" s="18"/>
      <c r="G13" s="18"/>
      <c r="H13" s="85"/>
      <c r="I13" s="18"/>
      <c r="J13" s="18"/>
    </row>
    <row r="14" spans="2:10" ht="14" x14ac:dyDescent="0.3">
      <c r="B14" s="4" t="s">
        <v>37</v>
      </c>
      <c r="C14" s="78"/>
      <c r="D14" s="78"/>
      <c r="F14" s="18"/>
      <c r="G14" s="18"/>
      <c r="I14" s="18"/>
      <c r="J14" s="18"/>
    </row>
    <row r="15" spans="2:10" ht="14" x14ac:dyDescent="0.3">
      <c r="B15" s="79" t="s">
        <v>28</v>
      </c>
      <c r="C15" s="82">
        <v>68.010000000000005</v>
      </c>
      <c r="D15" s="82">
        <v>77.94</v>
      </c>
      <c r="E15" s="18"/>
      <c r="F15" s="18"/>
      <c r="G15" s="18"/>
      <c r="I15" s="18"/>
      <c r="J15" s="18"/>
    </row>
    <row r="16" spans="2:10" ht="14" x14ac:dyDescent="0.3">
      <c r="B16" s="79" t="s">
        <v>29</v>
      </c>
      <c r="C16" s="82">
        <v>28.48</v>
      </c>
      <c r="D16" s="82">
        <v>18.61</v>
      </c>
      <c r="E16" s="18"/>
      <c r="F16" s="18"/>
      <c r="G16" s="18"/>
      <c r="I16" s="18"/>
      <c r="J16" s="18"/>
    </row>
    <row r="17" spans="2:10" ht="14" x14ac:dyDescent="0.3">
      <c r="B17" s="79" t="s">
        <v>30</v>
      </c>
      <c r="C17" s="82">
        <v>3.5</v>
      </c>
      <c r="D17" s="82">
        <v>3.44</v>
      </c>
      <c r="E17" s="18"/>
      <c r="F17" s="18"/>
      <c r="G17" s="18"/>
      <c r="I17" s="18"/>
      <c r="J17" s="18"/>
    </row>
    <row r="18" spans="2:10" ht="14" x14ac:dyDescent="0.3">
      <c r="B18" s="80" t="s">
        <v>31</v>
      </c>
      <c r="C18" s="78"/>
      <c r="D18" s="78"/>
      <c r="F18" s="18"/>
      <c r="G18" s="18"/>
      <c r="I18" s="18"/>
      <c r="J18" s="18"/>
    </row>
    <row r="19" spans="2:10" ht="14" x14ac:dyDescent="0.3">
      <c r="B19" s="4" t="s">
        <v>33</v>
      </c>
      <c r="C19" s="81">
        <v>42.44</v>
      </c>
      <c r="D19" s="81">
        <v>42.41</v>
      </c>
      <c r="E19" s="18"/>
      <c r="F19" s="18"/>
      <c r="G19" s="18"/>
      <c r="I19" s="18"/>
      <c r="J19" s="18"/>
    </row>
    <row r="20" spans="2:10" ht="14" x14ac:dyDescent="0.3">
      <c r="B20" s="4" t="s">
        <v>34</v>
      </c>
      <c r="C20" s="78">
        <v>78.44</v>
      </c>
      <c r="D20" s="78">
        <v>79.569999999999993</v>
      </c>
      <c r="E20" s="18"/>
      <c r="F20" s="18"/>
      <c r="G20" s="18"/>
      <c r="I20" s="18"/>
      <c r="J20" s="18"/>
    </row>
    <row r="21" spans="2:10" ht="14" x14ac:dyDescent="0.3">
      <c r="B21" s="4" t="s">
        <v>35</v>
      </c>
      <c r="C21" s="78">
        <v>89.57</v>
      </c>
      <c r="D21" s="78">
        <v>90.02</v>
      </c>
      <c r="E21" s="18"/>
      <c r="F21" s="18"/>
      <c r="G21" s="18"/>
      <c r="I21" s="18"/>
      <c r="J21" s="18"/>
    </row>
    <row r="22" spans="2:10" ht="14" x14ac:dyDescent="0.3">
      <c r="B22" s="4" t="s">
        <v>36</v>
      </c>
      <c r="C22" s="78"/>
      <c r="D22" s="78"/>
      <c r="E22" s="18"/>
      <c r="F22" s="18"/>
      <c r="G22" s="18"/>
      <c r="I22" s="18"/>
      <c r="J22" s="18"/>
    </row>
    <row r="23" spans="2:10" ht="14" x14ac:dyDescent="0.3">
      <c r="B23" s="79" t="s">
        <v>38</v>
      </c>
      <c r="C23" s="82">
        <v>38.409999999999997</v>
      </c>
      <c r="D23" s="82">
        <v>39.369999999999997</v>
      </c>
      <c r="E23" s="18"/>
      <c r="F23" s="18"/>
      <c r="I23" s="18"/>
      <c r="J23" s="18"/>
    </row>
    <row r="24" spans="2:10" ht="14" x14ac:dyDescent="0.3">
      <c r="B24" s="79" t="s">
        <v>39</v>
      </c>
      <c r="C24" s="82">
        <v>28.67</v>
      </c>
      <c r="D24" s="82">
        <v>27.42</v>
      </c>
      <c r="E24" s="18"/>
      <c r="F24" s="18"/>
      <c r="I24" s="18"/>
      <c r="J24" s="18"/>
    </row>
    <row r="25" spans="2:10" ht="14" x14ac:dyDescent="0.3">
      <c r="B25" s="79" t="s">
        <v>40</v>
      </c>
      <c r="C25" s="82">
        <v>21.02</v>
      </c>
      <c r="D25" s="82">
        <v>21.74</v>
      </c>
      <c r="E25" s="18"/>
      <c r="F25" s="18"/>
      <c r="I25" s="18"/>
      <c r="J25" s="18"/>
    </row>
    <row r="26" spans="2:10" ht="14" x14ac:dyDescent="0.3">
      <c r="B26" s="79" t="s">
        <v>127</v>
      </c>
      <c r="C26" s="82">
        <v>8.4700000000000006</v>
      </c>
      <c r="D26" s="82">
        <v>8.25</v>
      </c>
      <c r="E26" s="18"/>
      <c r="I26" s="18"/>
      <c r="J26" s="18"/>
    </row>
    <row r="27" spans="2:10" thickBot="1" x14ac:dyDescent="0.35">
      <c r="B27" s="79" t="s">
        <v>41</v>
      </c>
      <c r="C27" s="82">
        <v>3.43</v>
      </c>
      <c r="D27" s="82">
        <v>3.23</v>
      </c>
      <c r="E27" s="18"/>
      <c r="I27" s="18"/>
      <c r="J27" s="18"/>
    </row>
    <row r="28" spans="2:10" ht="14" x14ac:dyDescent="0.3">
      <c r="B28" s="126" t="s">
        <v>153</v>
      </c>
      <c r="C28" s="127"/>
      <c r="D28" s="128"/>
    </row>
    <row r="29" spans="2:10" ht="35.15" customHeight="1" x14ac:dyDescent="0.3">
      <c r="B29" s="173" t="s">
        <v>180</v>
      </c>
      <c r="C29" s="174"/>
      <c r="D29" s="175"/>
    </row>
    <row r="30" spans="2:10" thickBot="1" x14ac:dyDescent="0.35">
      <c r="B30" s="89" t="s">
        <v>181</v>
      </c>
      <c r="C30" s="90"/>
      <c r="D30" s="91"/>
    </row>
    <row r="31" spans="2:10" ht="14" x14ac:dyDescent="0.3"/>
    <row r="32" spans="2:10" ht="14" x14ac:dyDescent="0.3"/>
    <row r="33" spans="2:4" ht="14" x14ac:dyDescent="0.3"/>
    <row r="34" spans="2:4" ht="14" x14ac:dyDescent="0.3"/>
    <row r="35" spans="2:4" ht="14" x14ac:dyDescent="0.3">
      <c r="B35" s="34"/>
      <c r="C35" s="86"/>
      <c r="D35" s="85"/>
    </row>
    <row r="36" spans="2:4" ht="14" x14ac:dyDescent="0.3">
      <c r="C36" s="87"/>
      <c r="D36" s="87"/>
    </row>
    <row r="37" spans="2:4" ht="14" x14ac:dyDescent="0.3">
      <c r="C37" s="87"/>
      <c r="D37" s="87"/>
    </row>
    <row r="38" spans="2:4" ht="14" x14ac:dyDescent="0.3">
      <c r="C38" s="87"/>
      <c r="D38" s="87"/>
    </row>
    <row r="39" spans="2:4" ht="14" x14ac:dyDescent="0.3">
      <c r="C39" s="87"/>
      <c r="D39" s="87"/>
    </row>
    <row r="40" spans="2:4" ht="14" x14ac:dyDescent="0.3">
      <c r="C40" s="87"/>
      <c r="D40" s="87"/>
    </row>
    <row r="41" spans="2:4" ht="14" x14ac:dyDescent="0.3">
      <c r="C41" s="87"/>
      <c r="D41" s="87"/>
    </row>
    <row r="42" spans="2:4" ht="14" x14ac:dyDescent="0.3">
      <c r="C42" s="87"/>
      <c r="D42" s="87"/>
    </row>
    <row r="43" spans="2:4" ht="14" x14ac:dyDescent="0.3">
      <c r="C43" s="87"/>
      <c r="D43" s="87"/>
    </row>
    <row r="44" spans="2:4" ht="14" x14ac:dyDescent="0.3">
      <c r="C44" s="87"/>
      <c r="D44" s="87"/>
    </row>
    <row r="45" spans="2:4" ht="14" x14ac:dyDescent="0.3">
      <c r="B45" s="88"/>
      <c r="C45" s="87"/>
      <c r="D45" s="87"/>
    </row>
    <row r="46" spans="2:4" ht="14" x14ac:dyDescent="0.3">
      <c r="B46" s="88"/>
      <c r="C46" s="87"/>
      <c r="D46" s="87"/>
    </row>
    <row r="47" spans="2:4" ht="14" x14ac:dyDescent="0.3">
      <c r="B47" s="88"/>
      <c r="C47" s="87"/>
      <c r="D47" s="87"/>
    </row>
    <row r="48" spans="2:4" ht="14" x14ac:dyDescent="0.3">
      <c r="B48" s="34"/>
      <c r="C48" s="87"/>
      <c r="D48" s="87"/>
    </row>
    <row r="49" spans="2:4" ht="14" x14ac:dyDescent="0.3">
      <c r="C49" s="87"/>
      <c r="D49" s="87"/>
    </row>
    <row r="50" spans="2:4" ht="14" x14ac:dyDescent="0.3">
      <c r="C50" s="87"/>
      <c r="D50" s="87"/>
    </row>
    <row r="51" spans="2:4" ht="14" x14ac:dyDescent="0.3">
      <c r="C51" s="87"/>
      <c r="D51" s="87"/>
    </row>
    <row r="52" spans="2:4" ht="14" x14ac:dyDescent="0.3">
      <c r="C52" s="87"/>
      <c r="D52" s="87"/>
    </row>
    <row r="53" spans="2:4" ht="14" x14ac:dyDescent="0.3">
      <c r="B53" s="88"/>
      <c r="C53" s="87"/>
      <c r="D53" s="87"/>
    </row>
    <row r="54" spans="2:4" ht="14" x14ac:dyDescent="0.3">
      <c r="B54" s="88"/>
      <c r="C54" s="87"/>
      <c r="D54" s="87"/>
    </row>
    <row r="55" spans="2:4" ht="14" x14ac:dyDescent="0.3">
      <c r="B55" s="88"/>
      <c r="C55" s="87"/>
      <c r="D55" s="87"/>
    </row>
    <row r="56" spans="2:4" ht="14" x14ac:dyDescent="0.3">
      <c r="B56" s="88"/>
      <c r="C56" s="87"/>
      <c r="D56" s="87"/>
    </row>
    <row r="57" spans="2:4" ht="14" x14ac:dyDescent="0.3">
      <c r="B57" s="88"/>
      <c r="C57" s="87"/>
      <c r="D57" s="87"/>
    </row>
    <row r="58" spans="2:4" ht="14" x14ac:dyDescent="0.3">
      <c r="C58" s="87"/>
      <c r="D58" s="87"/>
    </row>
    <row r="59" spans="2:4" ht="14" x14ac:dyDescent="0.3"/>
    <row r="60" spans="2:4" ht="14" x14ac:dyDescent="0.3"/>
    <row r="61" spans="2:4" ht="14" x14ac:dyDescent="0.3"/>
    <row r="62" spans="2:4" ht="14" x14ac:dyDescent="0.3"/>
    <row r="63" spans="2:4" ht="14" x14ac:dyDescent="0.3"/>
    <row r="64" spans="2:4" ht="14" x14ac:dyDescent="0.3"/>
    <row r="65" ht="14" x14ac:dyDescent="0.3"/>
    <row r="66" ht="14" x14ac:dyDescent="0.3"/>
    <row r="67" ht="14" x14ac:dyDescent="0.3"/>
    <row r="68" ht="14" x14ac:dyDescent="0.3"/>
  </sheetData>
  <customSheetViews>
    <customSheetView guid="{41816220-B35C-45A9-9EE2-EC676D322318}" topLeftCell="A5">
      <selection activeCell="G5" sqref="G1:L1048576"/>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2">
    <mergeCell ref="B3:D3"/>
    <mergeCell ref="B29:D29"/>
  </mergeCells>
  <conditionalFormatting sqref="E27">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pageSetUpPr autoPageBreaks="0"/>
  </sheetPr>
  <dimension ref="B2:AF111"/>
  <sheetViews>
    <sheetView zoomScaleNormal="100" workbookViewId="0"/>
  </sheetViews>
  <sheetFormatPr defaultColWidth="9.07421875" defaultRowHeight="14" x14ac:dyDescent="0.3"/>
  <cols>
    <col min="1" max="1" width="3.69140625" style="3" customWidth="1"/>
    <col min="2" max="2" width="2.69140625" style="3" customWidth="1"/>
    <col min="3" max="9" width="9.07421875" style="3"/>
    <col min="10" max="10" width="2.3046875" style="3" customWidth="1"/>
    <col min="11" max="11" width="3.765625" style="3" customWidth="1"/>
    <col min="12" max="12" width="9.765625" style="3" customWidth="1"/>
    <col min="13" max="14" width="22.3046875" style="3" bestFit="1" customWidth="1"/>
    <col min="15" max="15" width="3.765625" style="3" customWidth="1"/>
    <col min="16" max="16" width="4.23046875" style="3" customWidth="1"/>
    <col min="17" max="17" width="9.07421875" style="3"/>
    <col min="18" max="18" width="11.07421875" style="3" customWidth="1"/>
    <col min="19" max="19" width="9.07421875" style="3"/>
    <col min="20" max="20" width="11.07421875" style="3" customWidth="1"/>
    <col min="21" max="22" width="9.07421875" style="3"/>
    <col min="23" max="23" width="5.3046875" style="3" customWidth="1"/>
    <col min="24" max="24" width="3.84375" style="3" customWidth="1"/>
    <col min="25" max="25" width="11.765625" style="3" customWidth="1"/>
    <col min="26" max="27" width="22.3046875" style="3" bestFit="1" customWidth="1"/>
    <col min="28" max="16384" width="9.07421875" style="3"/>
  </cols>
  <sheetData>
    <row r="2" spans="2:32" ht="14.5" thickBot="1" x14ac:dyDescent="0.35"/>
    <row r="3" spans="2:32" ht="14.5" thickBot="1" x14ac:dyDescent="0.35">
      <c r="B3" s="148" t="s">
        <v>203</v>
      </c>
      <c r="C3" s="149"/>
      <c r="D3" s="149"/>
      <c r="E3" s="149"/>
      <c r="F3" s="149"/>
      <c r="G3" s="149"/>
      <c r="H3" s="149"/>
      <c r="I3" s="149"/>
      <c r="J3" s="150"/>
      <c r="L3" s="148" t="s">
        <v>195</v>
      </c>
      <c r="M3" s="149"/>
      <c r="N3" s="150"/>
      <c r="P3" s="148" t="s">
        <v>204</v>
      </c>
      <c r="Q3" s="149"/>
      <c r="R3" s="149"/>
      <c r="S3" s="149"/>
      <c r="T3" s="149"/>
      <c r="U3" s="149"/>
      <c r="V3" s="149"/>
      <c r="W3" s="150"/>
      <c r="Y3" s="148" t="s">
        <v>196</v>
      </c>
      <c r="Z3" s="149"/>
      <c r="AA3" s="150"/>
    </row>
    <row r="4" spans="2:32" ht="14.5" thickBot="1" x14ac:dyDescent="0.35">
      <c r="B4" s="9"/>
      <c r="C4" s="10"/>
      <c r="D4" s="10"/>
      <c r="E4" s="10"/>
      <c r="F4" s="10"/>
      <c r="G4" s="10"/>
      <c r="H4" s="10"/>
      <c r="I4" s="10"/>
      <c r="J4" s="14"/>
      <c r="L4" s="21" t="s">
        <v>117</v>
      </c>
      <c r="M4" s="33" t="s">
        <v>192</v>
      </c>
      <c r="N4" s="33" t="s">
        <v>193</v>
      </c>
      <c r="P4" s="9"/>
      <c r="Q4" s="10"/>
      <c r="R4" s="10"/>
      <c r="S4" s="10"/>
      <c r="T4" s="10"/>
      <c r="U4" s="10"/>
      <c r="V4" s="10"/>
      <c r="W4" s="14"/>
      <c r="Y4" s="8" t="s">
        <v>163</v>
      </c>
      <c r="Z4" s="33" t="s">
        <v>192</v>
      </c>
      <c r="AA4" s="33" t="s">
        <v>193</v>
      </c>
    </row>
    <row r="5" spans="2:32" x14ac:dyDescent="0.3">
      <c r="B5" s="4"/>
      <c r="C5" s="5"/>
      <c r="D5" s="5"/>
      <c r="E5" s="5"/>
      <c r="F5" s="5"/>
      <c r="G5" s="5"/>
      <c r="H5" s="5"/>
      <c r="I5" s="5"/>
      <c r="J5" s="6"/>
      <c r="L5" s="1" t="s">
        <v>130</v>
      </c>
      <c r="M5" s="99">
        <v>0.28000000000000003</v>
      </c>
      <c r="N5" s="99">
        <v>0.33</v>
      </c>
      <c r="O5" s="18"/>
      <c r="P5" s="4"/>
      <c r="Q5" s="5"/>
      <c r="R5" s="5"/>
      <c r="S5" s="5"/>
      <c r="T5" s="5"/>
      <c r="U5" s="5"/>
      <c r="V5" s="5"/>
      <c r="W5" s="6"/>
      <c r="Y5" s="26" t="s">
        <v>133</v>
      </c>
      <c r="Z5" s="83">
        <v>0.26</v>
      </c>
      <c r="AA5" s="83">
        <v>0.37</v>
      </c>
      <c r="AC5" s="55"/>
      <c r="AE5" s="55"/>
      <c r="AF5" s="55"/>
    </row>
    <row r="6" spans="2:32" x14ac:dyDescent="0.3">
      <c r="B6" s="4"/>
      <c r="C6" s="5"/>
      <c r="D6" s="5"/>
      <c r="E6" s="5"/>
      <c r="F6" s="5"/>
      <c r="G6" s="5"/>
      <c r="H6" s="5"/>
      <c r="I6" s="5"/>
      <c r="J6" s="6"/>
      <c r="L6" s="2" t="s">
        <v>86</v>
      </c>
      <c r="M6" s="99">
        <v>0.49</v>
      </c>
      <c r="N6" s="99">
        <v>0.47</v>
      </c>
      <c r="O6" s="18"/>
      <c r="P6" s="4"/>
      <c r="Q6" s="5"/>
      <c r="R6" s="5"/>
      <c r="S6" s="5"/>
      <c r="T6" s="5"/>
      <c r="U6" s="5"/>
      <c r="V6" s="5"/>
      <c r="W6" s="6"/>
      <c r="Y6" s="2" t="s">
        <v>134</v>
      </c>
      <c r="Z6" s="83">
        <v>1.02</v>
      </c>
      <c r="AA6" s="83">
        <v>0.92</v>
      </c>
      <c r="AC6" s="55"/>
      <c r="AE6" s="55"/>
      <c r="AF6" s="55"/>
    </row>
    <row r="7" spans="2:32" x14ac:dyDescent="0.3">
      <c r="B7" s="4"/>
      <c r="C7" s="5"/>
      <c r="D7" s="5"/>
      <c r="E7" s="5"/>
      <c r="F7" s="5"/>
      <c r="G7" s="5"/>
      <c r="H7" s="5"/>
      <c r="I7" s="5"/>
      <c r="J7" s="6"/>
      <c r="L7" s="2" t="s">
        <v>87</v>
      </c>
      <c r="M7" s="99">
        <v>0.52</v>
      </c>
      <c r="N7" s="99">
        <v>0.62</v>
      </c>
      <c r="O7" s="18"/>
      <c r="P7" s="4"/>
      <c r="Q7" s="5"/>
      <c r="R7" s="5"/>
      <c r="S7" s="5"/>
      <c r="T7" s="5"/>
      <c r="U7" s="5"/>
      <c r="V7" s="5"/>
      <c r="W7" s="6"/>
      <c r="Y7" s="2" t="s">
        <v>48</v>
      </c>
      <c r="Z7" s="83">
        <v>1.73</v>
      </c>
      <c r="AA7" s="83">
        <v>1.47</v>
      </c>
      <c r="AC7" s="55"/>
      <c r="AE7" s="55"/>
      <c r="AF7" s="55"/>
    </row>
    <row r="8" spans="2:32" x14ac:dyDescent="0.3">
      <c r="B8" s="4"/>
      <c r="C8" s="5"/>
      <c r="D8" s="5"/>
      <c r="E8" s="5"/>
      <c r="F8" s="5"/>
      <c r="G8" s="5"/>
      <c r="H8" s="5"/>
      <c r="I8" s="5"/>
      <c r="J8" s="6"/>
      <c r="L8" s="2" t="s">
        <v>88</v>
      </c>
      <c r="M8" s="99">
        <v>0.64</v>
      </c>
      <c r="N8" s="99">
        <v>0.73</v>
      </c>
      <c r="O8" s="18"/>
      <c r="P8" s="4"/>
      <c r="Q8" s="5"/>
      <c r="R8" s="5"/>
      <c r="S8" s="5"/>
      <c r="T8" s="5"/>
      <c r="U8" s="5"/>
      <c r="V8" s="5"/>
      <c r="W8" s="6"/>
      <c r="Y8" s="2" t="s">
        <v>49</v>
      </c>
      <c r="Z8" s="83">
        <v>2.2599999999999998</v>
      </c>
      <c r="AA8" s="83">
        <v>2.2999999999999998</v>
      </c>
      <c r="AC8" s="55"/>
      <c r="AE8" s="55"/>
      <c r="AF8" s="55"/>
    </row>
    <row r="9" spans="2:32" x14ac:dyDescent="0.3">
      <c r="B9" s="4"/>
      <c r="C9" s="5"/>
      <c r="D9" s="5"/>
      <c r="E9" s="5"/>
      <c r="F9" s="5"/>
      <c r="G9" s="5"/>
      <c r="H9" s="5"/>
      <c r="I9" s="5"/>
      <c r="J9" s="6"/>
      <c r="L9" s="2" t="s">
        <v>89</v>
      </c>
      <c r="M9" s="99">
        <v>0.74</v>
      </c>
      <c r="N9" s="99">
        <v>0.61</v>
      </c>
      <c r="O9" s="18"/>
      <c r="P9" s="4"/>
      <c r="Q9" s="5"/>
      <c r="R9" s="5"/>
      <c r="S9" s="5"/>
      <c r="T9" s="5"/>
      <c r="U9" s="5"/>
      <c r="V9" s="5"/>
      <c r="W9" s="6"/>
      <c r="Y9" s="2" t="s">
        <v>50</v>
      </c>
      <c r="Z9" s="83">
        <v>3.75</v>
      </c>
      <c r="AA9" s="83">
        <v>3.75</v>
      </c>
      <c r="AC9" s="55"/>
      <c r="AE9" s="55"/>
      <c r="AF9" s="55"/>
    </row>
    <row r="10" spans="2:32" x14ac:dyDescent="0.3">
      <c r="B10" s="4"/>
      <c r="C10" s="5"/>
      <c r="D10" s="5"/>
      <c r="E10" s="5"/>
      <c r="F10" s="5"/>
      <c r="G10" s="5"/>
      <c r="H10" s="5"/>
      <c r="I10" s="5"/>
      <c r="J10" s="6"/>
      <c r="L10" s="2" t="s">
        <v>90</v>
      </c>
      <c r="M10" s="99">
        <v>0.88</v>
      </c>
      <c r="N10" s="99">
        <v>1</v>
      </c>
      <c r="O10" s="18"/>
      <c r="P10" s="4"/>
      <c r="Q10" s="5"/>
      <c r="R10" s="5"/>
      <c r="S10" s="5"/>
      <c r="T10" s="5"/>
      <c r="U10" s="5"/>
      <c r="V10" s="5"/>
      <c r="W10" s="6"/>
      <c r="Y10" s="2" t="s">
        <v>51</v>
      </c>
      <c r="Z10" s="83">
        <v>4.58</v>
      </c>
      <c r="AA10" s="83">
        <v>4.53</v>
      </c>
      <c r="AC10" s="55"/>
      <c r="AE10" s="55"/>
      <c r="AF10" s="55"/>
    </row>
    <row r="11" spans="2:32" x14ac:dyDescent="0.3">
      <c r="B11" s="4"/>
      <c r="C11" s="5"/>
      <c r="D11" s="5"/>
      <c r="E11" s="5"/>
      <c r="F11" s="5"/>
      <c r="G11" s="5"/>
      <c r="H11" s="5"/>
      <c r="I11" s="5"/>
      <c r="J11" s="6"/>
      <c r="L11" s="2" t="s">
        <v>91</v>
      </c>
      <c r="M11" s="99">
        <v>1.01</v>
      </c>
      <c r="N11" s="99">
        <v>1.04</v>
      </c>
      <c r="O11" s="18"/>
      <c r="P11" s="4"/>
      <c r="Q11" s="5"/>
      <c r="R11" s="5"/>
      <c r="S11" s="5"/>
      <c r="T11" s="5"/>
      <c r="U11" s="5"/>
      <c r="V11" s="5"/>
      <c r="W11" s="6"/>
      <c r="Y11" s="2" t="s">
        <v>52</v>
      </c>
      <c r="Z11" s="83">
        <v>6.5</v>
      </c>
      <c r="AA11" s="83">
        <v>5.72</v>
      </c>
      <c r="AC11" s="55"/>
      <c r="AE11" s="55"/>
      <c r="AF11" s="55"/>
    </row>
    <row r="12" spans="2:32" x14ac:dyDescent="0.3">
      <c r="B12" s="4"/>
      <c r="C12" s="5"/>
      <c r="D12" s="5"/>
      <c r="E12" s="5"/>
      <c r="F12" s="5"/>
      <c r="G12" s="5"/>
      <c r="H12" s="5"/>
      <c r="I12" s="5"/>
      <c r="J12" s="6"/>
      <c r="L12" s="23" t="s">
        <v>92</v>
      </c>
      <c r="M12" s="99">
        <v>0.91</v>
      </c>
      <c r="N12" s="99">
        <v>0.93</v>
      </c>
      <c r="O12" s="18"/>
      <c r="P12" s="4"/>
      <c r="Q12" s="5"/>
      <c r="R12" s="5"/>
      <c r="S12" s="5"/>
      <c r="T12" s="5"/>
      <c r="U12" s="5"/>
      <c r="V12" s="5"/>
      <c r="W12" s="6"/>
      <c r="Y12" s="2" t="s">
        <v>53</v>
      </c>
      <c r="Z12" s="83">
        <v>7.63</v>
      </c>
      <c r="AA12" s="83">
        <v>6.51</v>
      </c>
      <c r="AC12" s="55"/>
      <c r="AE12" s="55"/>
      <c r="AF12" s="55"/>
    </row>
    <row r="13" spans="2:32" x14ac:dyDescent="0.3">
      <c r="B13" s="4"/>
      <c r="C13" s="5"/>
      <c r="D13" s="5"/>
      <c r="E13" s="5"/>
      <c r="F13" s="5"/>
      <c r="G13" s="5"/>
      <c r="H13" s="5"/>
      <c r="I13" s="5"/>
      <c r="J13" s="6"/>
      <c r="L13" s="2" t="s">
        <v>93</v>
      </c>
      <c r="M13" s="99">
        <v>1.27</v>
      </c>
      <c r="N13" s="99">
        <v>1.21</v>
      </c>
      <c r="O13" s="18"/>
      <c r="P13" s="4"/>
      <c r="Q13" s="5"/>
      <c r="R13" s="5"/>
      <c r="S13" s="5"/>
      <c r="T13" s="5"/>
      <c r="U13" s="5"/>
      <c r="V13" s="5"/>
      <c r="W13" s="6"/>
      <c r="Y13" s="2" t="s">
        <v>54</v>
      </c>
      <c r="Z13" s="83">
        <v>8.59</v>
      </c>
      <c r="AA13" s="83">
        <v>8.93</v>
      </c>
      <c r="AC13" s="55"/>
      <c r="AE13" s="55"/>
      <c r="AF13" s="55"/>
    </row>
    <row r="14" spans="2:32" x14ac:dyDescent="0.3">
      <c r="B14" s="4"/>
      <c r="C14" s="5"/>
      <c r="D14" s="5"/>
      <c r="E14" s="5"/>
      <c r="F14" s="5"/>
      <c r="G14" s="5"/>
      <c r="H14" s="5"/>
      <c r="I14" s="5"/>
      <c r="J14" s="6"/>
      <c r="L14" s="2" t="s">
        <v>94</v>
      </c>
      <c r="M14" s="99">
        <v>1.35</v>
      </c>
      <c r="N14" s="99">
        <v>1.4</v>
      </c>
      <c r="O14" s="18"/>
      <c r="P14" s="4"/>
      <c r="Q14" s="5"/>
      <c r="R14" s="5"/>
      <c r="S14" s="5"/>
      <c r="T14" s="5"/>
      <c r="U14" s="5"/>
      <c r="V14" s="5"/>
      <c r="W14" s="6"/>
      <c r="Y14" s="2" t="s">
        <v>55</v>
      </c>
      <c r="Z14" s="83">
        <v>10.01</v>
      </c>
      <c r="AA14" s="83">
        <v>10.029999999999999</v>
      </c>
      <c r="AC14" s="55"/>
      <c r="AE14" s="55"/>
      <c r="AF14" s="55"/>
    </row>
    <row r="15" spans="2:32" x14ac:dyDescent="0.3">
      <c r="B15" s="4"/>
      <c r="C15" s="5"/>
      <c r="D15" s="5"/>
      <c r="E15" s="5"/>
      <c r="F15" s="5"/>
      <c r="G15" s="5"/>
      <c r="H15" s="5"/>
      <c r="I15" s="5"/>
      <c r="J15" s="6"/>
      <c r="L15" s="2" t="s">
        <v>95</v>
      </c>
      <c r="M15" s="99">
        <v>1.2</v>
      </c>
      <c r="N15" s="99">
        <v>1.37</v>
      </c>
      <c r="O15" s="18"/>
      <c r="P15" s="4"/>
      <c r="Q15" s="5"/>
      <c r="R15" s="5"/>
      <c r="S15" s="5"/>
      <c r="T15" s="5"/>
      <c r="U15" s="5"/>
      <c r="V15" s="5"/>
      <c r="W15" s="6"/>
      <c r="Y15" s="2" t="s">
        <v>56</v>
      </c>
      <c r="Z15" s="83">
        <v>11.04</v>
      </c>
      <c r="AA15" s="83">
        <v>11.06</v>
      </c>
      <c r="AC15" s="55"/>
      <c r="AE15" s="55"/>
      <c r="AF15" s="55"/>
    </row>
    <row r="16" spans="2:32" x14ac:dyDescent="0.3">
      <c r="B16" s="4"/>
      <c r="C16" s="5"/>
      <c r="D16" s="5"/>
      <c r="E16" s="5"/>
      <c r="F16" s="5"/>
      <c r="G16" s="5"/>
      <c r="H16" s="5"/>
      <c r="I16" s="5"/>
      <c r="J16" s="6"/>
      <c r="L16" s="2" t="s">
        <v>96</v>
      </c>
      <c r="M16" s="99">
        <v>1.55</v>
      </c>
      <c r="N16" s="99">
        <v>1.66</v>
      </c>
      <c r="O16" s="18"/>
      <c r="P16" s="4"/>
      <c r="Q16" s="5"/>
      <c r="R16" s="5"/>
      <c r="S16" s="5"/>
      <c r="T16" s="5"/>
      <c r="U16" s="5"/>
      <c r="V16" s="5"/>
      <c r="W16" s="6"/>
      <c r="Y16" s="2" t="s">
        <v>57</v>
      </c>
      <c r="Z16" s="83">
        <v>12.05</v>
      </c>
      <c r="AA16" s="83">
        <v>11.59</v>
      </c>
      <c r="AC16" s="55"/>
      <c r="AE16" s="55"/>
      <c r="AF16" s="55"/>
    </row>
    <row r="17" spans="2:32" x14ac:dyDescent="0.3">
      <c r="B17" s="4"/>
      <c r="C17" s="5"/>
      <c r="D17" s="5"/>
      <c r="E17" s="5"/>
      <c r="F17" s="5"/>
      <c r="G17" s="5"/>
      <c r="H17" s="5"/>
      <c r="I17" s="5"/>
      <c r="J17" s="6"/>
      <c r="L17" s="2" t="s">
        <v>97</v>
      </c>
      <c r="M17" s="99">
        <v>1.68</v>
      </c>
      <c r="N17" s="99">
        <v>1.61</v>
      </c>
      <c r="O17" s="18"/>
      <c r="P17" s="4"/>
      <c r="Q17" s="5"/>
      <c r="R17" s="5"/>
      <c r="S17" s="5"/>
      <c r="T17" s="5"/>
      <c r="U17" s="5"/>
      <c r="V17" s="5"/>
      <c r="W17" s="6"/>
      <c r="Y17" s="2" t="s">
        <v>58</v>
      </c>
      <c r="Z17" s="83">
        <v>22.89</v>
      </c>
      <c r="AA17" s="83">
        <v>24.71</v>
      </c>
      <c r="AC17" s="55"/>
      <c r="AE17" s="55"/>
      <c r="AF17" s="55"/>
    </row>
    <row r="18" spans="2:32" x14ac:dyDescent="0.3">
      <c r="B18" s="4"/>
      <c r="C18" s="5"/>
      <c r="D18" s="5"/>
      <c r="E18" s="5"/>
      <c r="F18" s="5"/>
      <c r="G18" s="5"/>
      <c r="H18" s="5"/>
      <c r="I18" s="5"/>
      <c r="J18" s="6"/>
      <c r="L18" s="2" t="s">
        <v>98</v>
      </c>
      <c r="M18" s="99">
        <v>1.55</v>
      </c>
      <c r="N18" s="99">
        <v>1.62</v>
      </c>
      <c r="O18" s="18"/>
      <c r="P18" s="4"/>
      <c r="Q18" s="5"/>
      <c r="R18" s="5"/>
      <c r="S18" s="5"/>
      <c r="T18" s="5"/>
      <c r="U18" s="5"/>
      <c r="V18" s="5"/>
      <c r="W18" s="6"/>
      <c r="Y18" s="2" t="s">
        <v>59</v>
      </c>
      <c r="Z18" s="83">
        <v>2.36</v>
      </c>
      <c r="AA18" s="83">
        <v>2.34</v>
      </c>
      <c r="AC18" s="55"/>
      <c r="AE18" s="55"/>
      <c r="AF18" s="55"/>
    </row>
    <row r="19" spans="2:32" x14ac:dyDescent="0.3">
      <c r="B19" s="4"/>
      <c r="C19" s="5"/>
      <c r="D19" s="5"/>
      <c r="E19" s="5"/>
      <c r="F19" s="5"/>
      <c r="G19" s="5"/>
      <c r="H19" s="5"/>
      <c r="I19" s="5"/>
      <c r="J19" s="6"/>
      <c r="L19" s="2" t="s">
        <v>99</v>
      </c>
      <c r="M19" s="99">
        <v>2.27</v>
      </c>
      <c r="N19" s="99">
        <v>2.0299999999999998</v>
      </c>
      <c r="O19" s="18"/>
      <c r="P19" s="4"/>
      <c r="Q19" s="5"/>
      <c r="R19" s="5"/>
      <c r="S19" s="5"/>
      <c r="T19" s="5"/>
      <c r="U19" s="5"/>
      <c r="V19" s="5"/>
      <c r="W19" s="6"/>
      <c r="Y19" s="2" t="s">
        <v>60</v>
      </c>
      <c r="Z19" s="83">
        <v>3.08</v>
      </c>
      <c r="AA19" s="83">
        <v>3.08</v>
      </c>
      <c r="AC19" s="55"/>
      <c r="AE19" s="55"/>
      <c r="AF19" s="55"/>
    </row>
    <row r="20" spans="2:32" x14ac:dyDescent="0.3">
      <c r="B20" s="4"/>
      <c r="C20" s="5"/>
      <c r="D20" s="5"/>
      <c r="E20" s="5"/>
      <c r="F20" s="5"/>
      <c r="G20" s="5"/>
      <c r="H20" s="5"/>
      <c r="I20" s="5"/>
      <c r="J20" s="6"/>
      <c r="L20" s="2" t="s">
        <v>100</v>
      </c>
      <c r="M20" s="99">
        <v>2.16</v>
      </c>
      <c r="N20" s="99">
        <v>1.97</v>
      </c>
      <c r="O20" s="18"/>
      <c r="P20" s="4"/>
      <c r="Q20" s="5"/>
      <c r="R20" s="5"/>
      <c r="S20" s="5"/>
      <c r="T20" s="5"/>
      <c r="U20" s="5"/>
      <c r="V20" s="5"/>
      <c r="W20" s="6"/>
      <c r="Y20" s="2" t="s">
        <v>61</v>
      </c>
      <c r="Z20" s="83">
        <v>1.33</v>
      </c>
      <c r="AA20" s="83">
        <v>1.39</v>
      </c>
      <c r="AC20" s="55"/>
      <c r="AE20" s="55"/>
      <c r="AF20" s="55"/>
    </row>
    <row r="21" spans="2:32" x14ac:dyDescent="0.3">
      <c r="B21" s="4"/>
      <c r="C21" s="5"/>
      <c r="D21" s="5"/>
      <c r="E21" s="5"/>
      <c r="F21" s="5"/>
      <c r="G21" s="5"/>
      <c r="H21" s="5"/>
      <c r="I21" s="5"/>
      <c r="J21" s="6"/>
      <c r="L21" s="2" t="s">
        <v>101</v>
      </c>
      <c r="M21" s="99">
        <v>2.02</v>
      </c>
      <c r="N21" s="99">
        <v>2.1800000000000002</v>
      </c>
      <c r="O21" s="18"/>
      <c r="P21" s="4"/>
      <c r="Q21" s="5"/>
      <c r="R21" s="5"/>
      <c r="S21" s="5"/>
      <c r="T21" s="5"/>
      <c r="U21" s="5"/>
      <c r="V21" s="5"/>
      <c r="W21" s="6"/>
      <c r="Y21" s="2" t="s">
        <v>132</v>
      </c>
      <c r="Z21" s="83">
        <v>0.9</v>
      </c>
      <c r="AA21" s="83">
        <v>1.26</v>
      </c>
      <c r="AC21" s="55"/>
      <c r="AE21" s="55"/>
      <c r="AF21" s="55"/>
    </row>
    <row r="22" spans="2:32" ht="14.5" thickBot="1" x14ac:dyDescent="0.35">
      <c r="B22" s="4"/>
      <c r="C22" s="5"/>
      <c r="D22" s="5"/>
      <c r="E22" s="5"/>
      <c r="F22" s="5"/>
      <c r="G22" s="5"/>
      <c r="H22" s="5"/>
      <c r="I22" s="5"/>
      <c r="J22" s="6"/>
      <c r="L22" s="2" t="s">
        <v>102</v>
      </c>
      <c r="M22" s="99">
        <v>3.52</v>
      </c>
      <c r="N22" s="99">
        <v>2.9</v>
      </c>
      <c r="O22" s="18"/>
      <c r="P22" s="4"/>
      <c r="Q22" s="5"/>
      <c r="R22" s="5"/>
      <c r="S22" s="5"/>
      <c r="T22" s="5"/>
      <c r="U22" s="5"/>
      <c r="V22" s="5"/>
      <c r="W22" s="6"/>
      <c r="Y22" s="2" t="s">
        <v>135</v>
      </c>
      <c r="Z22" s="83">
        <v>0.01</v>
      </c>
      <c r="AA22" s="83">
        <v>0.02</v>
      </c>
      <c r="AC22" s="55"/>
      <c r="AE22" s="55"/>
    </row>
    <row r="23" spans="2:32" x14ac:dyDescent="0.3">
      <c r="B23" s="4"/>
      <c r="C23" s="5"/>
      <c r="D23" s="5"/>
      <c r="E23" s="5"/>
      <c r="F23" s="5"/>
      <c r="G23" s="5"/>
      <c r="H23" s="5"/>
      <c r="I23" s="5"/>
      <c r="J23" s="6"/>
      <c r="L23" s="2" t="s">
        <v>103</v>
      </c>
      <c r="M23" s="99">
        <v>2.1800000000000002</v>
      </c>
      <c r="N23" s="99">
        <v>2.31</v>
      </c>
      <c r="O23" s="18"/>
      <c r="P23" s="4"/>
      <c r="Q23" s="5"/>
      <c r="R23" s="5"/>
      <c r="S23" s="5"/>
      <c r="T23" s="5"/>
      <c r="U23" s="5"/>
      <c r="V23" s="5"/>
      <c r="W23" s="6"/>
      <c r="Y23" s="54" t="s">
        <v>158</v>
      </c>
      <c r="Z23" s="10"/>
      <c r="AA23" s="14"/>
    </row>
    <row r="24" spans="2:32" ht="14.5" thickBot="1" x14ac:dyDescent="0.35">
      <c r="B24" s="7"/>
      <c r="C24" s="11"/>
      <c r="D24" s="11"/>
      <c r="E24" s="11"/>
      <c r="F24" s="11"/>
      <c r="G24" s="11"/>
      <c r="H24" s="11"/>
      <c r="I24" s="11"/>
      <c r="J24" s="15"/>
      <c r="L24" s="2" t="s">
        <v>104</v>
      </c>
      <c r="M24" s="99">
        <v>2.17</v>
      </c>
      <c r="N24" s="99">
        <v>2.4500000000000002</v>
      </c>
      <c r="O24" s="18"/>
      <c r="P24" s="7"/>
      <c r="Q24" s="11"/>
      <c r="R24" s="11"/>
      <c r="S24" s="11"/>
      <c r="T24" s="11"/>
      <c r="U24" s="11"/>
      <c r="V24" s="11"/>
      <c r="W24" s="15"/>
      <c r="Y24" s="43" t="s">
        <v>156</v>
      </c>
      <c r="Z24" s="11"/>
      <c r="AA24" s="15"/>
    </row>
    <row r="25" spans="2:32" x14ac:dyDescent="0.3">
      <c r="L25" s="2" t="s">
        <v>105</v>
      </c>
      <c r="M25" s="99">
        <v>2.82</v>
      </c>
      <c r="N25" s="99">
        <v>2.73</v>
      </c>
      <c r="O25" s="18"/>
    </row>
    <row r="26" spans="2:32" x14ac:dyDescent="0.3">
      <c r="L26" s="2" t="s">
        <v>106</v>
      </c>
      <c r="M26" s="99">
        <v>2.8</v>
      </c>
      <c r="N26" s="99">
        <v>2.9</v>
      </c>
      <c r="O26" s="18"/>
      <c r="X26" s="13"/>
    </row>
    <row r="27" spans="2:32" x14ac:dyDescent="0.3">
      <c r="L27" s="2" t="s">
        <v>107</v>
      </c>
      <c r="M27" s="99">
        <v>3.06</v>
      </c>
      <c r="N27" s="99">
        <v>3.4</v>
      </c>
      <c r="O27" s="18"/>
      <c r="U27" s="20"/>
      <c r="Z27" s="13"/>
    </row>
    <row r="28" spans="2:32" x14ac:dyDescent="0.3">
      <c r="L28" s="2" t="s">
        <v>108</v>
      </c>
      <c r="M28" s="99">
        <v>2.4900000000000002</v>
      </c>
      <c r="N28" s="99">
        <v>2.61</v>
      </c>
      <c r="O28" s="18"/>
      <c r="X28" s="18"/>
      <c r="Z28" s="13"/>
    </row>
    <row r="29" spans="2:32" x14ac:dyDescent="0.3">
      <c r="L29" s="2" t="s">
        <v>109</v>
      </c>
      <c r="M29" s="99">
        <v>3.01</v>
      </c>
      <c r="N29" s="99">
        <v>3.18</v>
      </c>
      <c r="O29" s="18"/>
      <c r="X29" s="20"/>
      <c r="Z29" s="13"/>
    </row>
    <row r="30" spans="2:32" x14ac:dyDescent="0.3">
      <c r="L30" s="2" t="s">
        <v>110</v>
      </c>
      <c r="M30" s="99">
        <v>2.89</v>
      </c>
      <c r="N30" s="99">
        <v>2.98</v>
      </c>
      <c r="O30" s="18"/>
      <c r="Q30" s="20"/>
      <c r="R30" s="20"/>
      <c r="X30" s="20"/>
      <c r="Z30" s="13"/>
    </row>
    <row r="31" spans="2:32" x14ac:dyDescent="0.3">
      <c r="L31" s="2" t="s">
        <v>111</v>
      </c>
      <c r="M31" s="99">
        <v>3.31</v>
      </c>
      <c r="N31" s="99">
        <v>2.7</v>
      </c>
      <c r="O31" s="18"/>
      <c r="Q31" s="20"/>
      <c r="R31" s="20"/>
      <c r="X31" s="20"/>
      <c r="Z31" s="13"/>
    </row>
    <row r="32" spans="2:32" x14ac:dyDescent="0.3">
      <c r="L32" s="2" t="s">
        <v>131</v>
      </c>
      <c r="M32" s="99">
        <v>3.56</v>
      </c>
      <c r="N32" s="99">
        <v>3.91</v>
      </c>
      <c r="O32" s="18"/>
      <c r="Q32" s="20"/>
      <c r="R32" s="20"/>
      <c r="X32" s="20"/>
      <c r="Z32" s="13"/>
    </row>
    <row r="33" spans="12:26" x14ac:dyDescent="0.3">
      <c r="L33" s="2" t="s">
        <v>112</v>
      </c>
      <c r="M33" s="99">
        <v>3.53</v>
      </c>
      <c r="N33" s="99">
        <v>2.88</v>
      </c>
      <c r="O33" s="18"/>
      <c r="Q33" s="20"/>
      <c r="R33" s="20"/>
      <c r="X33" s="20"/>
      <c r="Z33" s="13"/>
    </row>
    <row r="34" spans="12:26" x14ac:dyDescent="0.3">
      <c r="L34" s="2" t="s">
        <v>113</v>
      </c>
      <c r="M34" s="99">
        <v>3.31</v>
      </c>
      <c r="N34" s="99">
        <v>2.83</v>
      </c>
      <c r="O34" s="18"/>
      <c r="Q34" s="20"/>
      <c r="R34" s="20"/>
      <c r="X34" s="20"/>
      <c r="Z34" s="13"/>
    </row>
    <row r="35" spans="12:26" x14ac:dyDescent="0.3">
      <c r="L35" s="2" t="s">
        <v>114</v>
      </c>
      <c r="M35" s="99">
        <v>3.14</v>
      </c>
      <c r="N35" s="99">
        <v>2.94</v>
      </c>
      <c r="O35" s="18"/>
      <c r="Q35" s="20"/>
      <c r="R35" s="20"/>
      <c r="X35" s="20"/>
      <c r="Z35" s="13"/>
    </row>
    <row r="36" spans="12:26" x14ac:dyDescent="0.3">
      <c r="L36" s="2" t="s">
        <v>115</v>
      </c>
      <c r="M36" s="99">
        <v>3.38</v>
      </c>
      <c r="N36" s="99">
        <v>3.29</v>
      </c>
      <c r="O36" s="18"/>
      <c r="Q36" s="20"/>
      <c r="R36" s="20"/>
      <c r="Z36" s="13"/>
    </row>
    <row r="37" spans="12:26" x14ac:dyDescent="0.3">
      <c r="L37" s="2" t="s">
        <v>116</v>
      </c>
      <c r="M37" s="99">
        <v>6.31</v>
      </c>
      <c r="N37" s="99">
        <v>5.93</v>
      </c>
      <c r="O37" s="18"/>
      <c r="Q37" s="20"/>
      <c r="R37" s="20"/>
      <c r="X37" s="20"/>
      <c r="Z37" s="13"/>
    </row>
    <row r="38" spans="12:26" x14ac:dyDescent="0.3">
      <c r="L38" s="2" t="s">
        <v>118</v>
      </c>
      <c r="M38" s="99">
        <v>2.42</v>
      </c>
      <c r="N38" s="99">
        <v>2.39</v>
      </c>
      <c r="O38" s="18"/>
      <c r="Q38" s="20"/>
      <c r="R38" s="20"/>
      <c r="X38" s="20"/>
      <c r="Z38" s="13"/>
    </row>
    <row r="39" spans="12:26" x14ac:dyDescent="0.3">
      <c r="L39" s="2" t="s">
        <v>119</v>
      </c>
      <c r="M39" s="99">
        <v>2.68</v>
      </c>
      <c r="N39" s="99">
        <v>2.29</v>
      </c>
      <c r="O39" s="18"/>
      <c r="Q39" s="20"/>
      <c r="R39" s="20"/>
      <c r="X39" s="20"/>
      <c r="Z39" s="13"/>
    </row>
    <row r="40" spans="12:26" x14ac:dyDescent="0.3">
      <c r="L40" s="2" t="s">
        <v>120</v>
      </c>
      <c r="M40" s="99">
        <v>2.98</v>
      </c>
      <c r="N40" s="99">
        <v>2.73</v>
      </c>
      <c r="O40" s="18"/>
      <c r="Q40" s="20"/>
      <c r="R40" s="20"/>
      <c r="X40" s="20"/>
      <c r="Z40" s="13"/>
    </row>
    <row r="41" spans="12:26" x14ac:dyDescent="0.3">
      <c r="L41" s="2" t="s">
        <v>121</v>
      </c>
      <c r="M41" s="99">
        <v>2.85</v>
      </c>
      <c r="N41" s="99">
        <v>3.12</v>
      </c>
      <c r="O41" s="18"/>
      <c r="Q41" s="20"/>
      <c r="R41" s="20"/>
      <c r="X41" s="20"/>
    </row>
    <row r="42" spans="12:26" x14ac:dyDescent="0.3">
      <c r="L42" s="2" t="s">
        <v>138</v>
      </c>
      <c r="M42" s="99">
        <v>17.079999999999998</v>
      </c>
      <c r="N42" s="99">
        <v>18.739999999999998</v>
      </c>
      <c r="O42" s="18"/>
      <c r="Q42" s="20"/>
      <c r="R42" s="20"/>
      <c r="X42" s="20"/>
    </row>
    <row r="43" spans="12:26" ht="14.5" thickBot="1" x14ac:dyDescent="0.35">
      <c r="L43" s="12" t="s">
        <v>129</v>
      </c>
      <c r="M43" s="99">
        <v>0</v>
      </c>
      <c r="N43" s="99">
        <v>0</v>
      </c>
      <c r="O43" s="18"/>
      <c r="Q43" s="20"/>
      <c r="R43" s="20"/>
      <c r="X43" s="20"/>
    </row>
    <row r="44" spans="12:26" x14ac:dyDescent="0.3">
      <c r="L44" s="54" t="s">
        <v>157</v>
      </c>
      <c r="M44" s="24"/>
      <c r="N44" s="25"/>
      <c r="Q44" s="20"/>
      <c r="R44" s="20"/>
      <c r="Z44" s="20"/>
    </row>
    <row r="45" spans="12:26" ht="14.5" thickBot="1" x14ac:dyDescent="0.35">
      <c r="L45" s="43" t="s">
        <v>156</v>
      </c>
      <c r="M45" s="11"/>
      <c r="N45" s="15"/>
      <c r="Q45" s="20"/>
      <c r="R45" s="20"/>
      <c r="S45" s="20"/>
      <c r="U45" s="20"/>
    </row>
    <row r="46" spans="12:26" x14ac:dyDescent="0.3">
      <c r="Q46" s="20"/>
      <c r="R46" s="20"/>
      <c r="S46" s="20"/>
    </row>
    <row r="47" spans="12:26" x14ac:dyDescent="0.3">
      <c r="M47" s="18"/>
      <c r="Q47" s="20"/>
      <c r="R47" s="20"/>
      <c r="S47" s="20"/>
    </row>
    <row r="48" spans="12:26" x14ac:dyDescent="0.3">
      <c r="Q48" s="20"/>
      <c r="R48" s="20"/>
      <c r="S48" s="20"/>
    </row>
    <row r="49" spans="14:19" x14ac:dyDescent="0.3">
      <c r="N49" s="35"/>
      <c r="Q49" s="20"/>
      <c r="R49" s="20"/>
      <c r="S49" s="20"/>
    </row>
    <row r="50" spans="14:19" x14ac:dyDescent="0.3">
      <c r="Q50" s="20"/>
      <c r="R50" s="20"/>
      <c r="S50" s="20"/>
    </row>
    <row r="51" spans="14:19" x14ac:dyDescent="0.3">
      <c r="Q51" s="20"/>
      <c r="R51" s="20"/>
      <c r="S51" s="20"/>
    </row>
    <row r="52" spans="14:19" x14ac:dyDescent="0.3">
      <c r="Q52" s="20"/>
      <c r="R52" s="20"/>
      <c r="S52" s="20"/>
    </row>
    <row r="53" spans="14:19" x14ac:dyDescent="0.3">
      <c r="Q53" s="20"/>
      <c r="R53" s="20"/>
      <c r="S53" s="20"/>
    </row>
    <row r="54" spans="14:19" x14ac:dyDescent="0.3">
      <c r="Q54" s="20"/>
      <c r="R54" s="20"/>
      <c r="S54" s="20"/>
    </row>
    <row r="55" spans="14:19" x14ac:dyDescent="0.3">
      <c r="Q55" s="20"/>
      <c r="R55" s="20"/>
      <c r="S55" s="20"/>
    </row>
    <row r="56" spans="14:19" x14ac:dyDescent="0.3">
      <c r="Q56" s="20"/>
      <c r="R56" s="20"/>
      <c r="S56" s="20"/>
    </row>
    <row r="57" spans="14:19" x14ac:dyDescent="0.3">
      <c r="Q57" s="20"/>
      <c r="R57" s="20"/>
      <c r="S57" s="20"/>
    </row>
    <row r="58" spans="14:19" x14ac:dyDescent="0.3">
      <c r="Q58" s="20"/>
      <c r="R58" s="20"/>
      <c r="S58" s="20"/>
    </row>
    <row r="59" spans="14:19" x14ac:dyDescent="0.3">
      <c r="Q59" s="20"/>
      <c r="R59" s="20"/>
      <c r="S59" s="20"/>
    </row>
    <row r="60" spans="14:19" x14ac:dyDescent="0.3">
      <c r="Q60" s="20"/>
      <c r="R60" s="20"/>
      <c r="S60" s="20"/>
    </row>
    <row r="61" spans="14:19" x14ac:dyDescent="0.3">
      <c r="Q61" s="20"/>
      <c r="R61" s="20"/>
      <c r="S61" s="20"/>
    </row>
    <row r="62" spans="14:19" x14ac:dyDescent="0.3">
      <c r="Q62" s="20"/>
      <c r="R62" s="20"/>
      <c r="S62" s="20"/>
    </row>
    <row r="63" spans="14:19" x14ac:dyDescent="0.3">
      <c r="Q63" s="20"/>
      <c r="R63" s="20"/>
      <c r="S63" s="20"/>
    </row>
    <row r="64" spans="14:19" x14ac:dyDescent="0.3">
      <c r="Q64" s="20"/>
      <c r="R64" s="20"/>
      <c r="S64" s="20"/>
    </row>
    <row r="65" spans="5:20" x14ac:dyDescent="0.3">
      <c r="Q65" s="20"/>
      <c r="R65" s="20"/>
      <c r="S65" s="20"/>
    </row>
    <row r="66" spans="5:20" x14ac:dyDescent="0.3">
      <c r="Q66" s="20"/>
      <c r="R66" s="20"/>
      <c r="S66" s="20"/>
    </row>
    <row r="67" spans="5:20" x14ac:dyDescent="0.3">
      <c r="Q67" s="20"/>
      <c r="R67" s="20"/>
      <c r="S67" s="20"/>
    </row>
    <row r="68" spans="5:20" x14ac:dyDescent="0.3">
      <c r="Q68" s="20"/>
      <c r="R68" s="20"/>
      <c r="S68" s="20"/>
    </row>
    <row r="69" spans="5:20" x14ac:dyDescent="0.3">
      <c r="Q69" s="20"/>
      <c r="R69" s="20"/>
      <c r="S69" s="20"/>
      <c r="T69" s="20"/>
    </row>
    <row r="70" spans="5:20" x14ac:dyDescent="0.3">
      <c r="E70" s="36"/>
    </row>
    <row r="93" spans="8:8" x14ac:dyDescent="0.3">
      <c r="H93" s="17"/>
    </row>
    <row r="94" spans="8:8" x14ac:dyDescent="0.3">
      <c r="H94" s="17"/>
    </row>
    <row r="110" spans="8:8" x14ac:dyDescent="0.3">
      <c r="H110" s="17"/>
    </row>
    <row r="111" spans="8:8" x14ac:dyDescent="0.3">
      <c r="H111" s="17"/>
    </row>
  </sheetData>
  <customSheetViews>
    <customSheetView guid="{41816220-B35C-45A9-9EE2-EC676D322318}">
      <selection activeCell="M40" sqref="M4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J3"/>
    <mergeCell ref="L3:N3"/>
    <mergeCell ref="P3:W3"/>
    <mergeCell ref="Y3:AA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5"/>
    <pageSetUpPr autoPageBreaks="0"/>
  </sheetPr>
  <dimension ref="B2:K15"/>
  <sheetViews>
    <sheetView workbookViewId="0"/>
  </sheetViews>
  <sheetFormatPr defaultColWidth="9.07421875" defaultRowHeight="14" x14ac:dyDescent="0.3"/>
  <cols>
    <col min="1" max="1" width="9.07421875" style="3"/>
    <col min="2" max="2" width="28.84375" style="3" customWidth="1"/>
    <col min="3" max="3" width="23.69140625" style="3" customWidth="1"/>
    <col min="4" max="4" width="24.765625" style="3" customWidth="1"/>
    <col min="5" max="16384" width="9.07421875" style="3"/>
  </cols>
  <sheetData>
    <row r="2" spans="2:11" ht="14.5" thickBot="1" x14ac:dyDescent="0.35"/>
    <row r="3" spans="2:11" ht="14.5" thickBot="1" x14ac:dyDescent="0.35">
      <c r="B3" s="161" t="s">
        <v>183</v>
      </c>
      <c r="C3" s="162"/>
      <c r="D3" s="163"/>
    </row>
    <row r="4" spans="2:11" ht="14.5" thickBot="1" x14ac:dyDescent="0.35">
      <c r="B4" s="66"/>
      <c r="C4" s="8">
        <v>2024</v>
      </c>
      <c r="D4" s="8">
        <v>2025</v>
      </c>
    </row>
    <row r="5" spans="2:11" ht="14.5" customHeight="1" x14ac:dyDescent="0.3">
      <c r="B5" s="75" t="s">
        <v>32</v>
      </c>
      <c r="C5" s="92"/>
      <c r="D5" s="92"/>
    </row>
    <row r="6" spans="2:11" ht="14.5" customHeight="1" x14ac:dyDescent="0.3">
      <c r="B6" s="4" t="s">
        <v>20</v>
      </c>
      <c r="C6" s="81">
        <v>180592.67</v>
      </c>
      <c r="D6" s="81">
        <v>199476.45</v>
      </c>
      <c r="E6" s="17"/>
    </row>
    <row r="7" spans="2:11" ht="14.5" customHeight="1" x14ac:dyDescent="0.3">
      <c r="B7" s="4" t="s">
        <v>21</v>
      </c>
      <c r="C7" s="77">
        <v>328139.98</v>
      </c>
      <c r="D7" s="77">
        <v>365720.38</v>
      </c>
      <c r="E7" s="17"/>
      <c r="J7" s="17"/>
      <c r="K7" s="17"/>
    </row>
    <row r="8" spans="2:11" ht="14.5" thickBot="1" x14ac:dyDescent="0.35">
      <c r="B8" s="7" t="s">
        <v>22</v>
      </c>
      <c r="C8" s="93">
        <v>58.07</v>
      </c>
      <c r="D8" s="93">
        <v>57.27</v>
      </c>
      <c r="E8" s="85"/>
    </row>
    <row r="9" spans="2:11" ht="14.5" customHeight="1" x14ac:dyDescent="0.3">
      <c r="B9" s="94" t="s">
        <v>153</v>
      </c>
      <c r="C9" s="71"/>
      <c r="D9" s="72"/>
      <c r="J9" s="19"/>
      <c r="K9" s="19"/>
    </row>
    <row r="10" spans="2:11" ht="39.65" customHeight="1" x14ac:dyDescent="0.3">
      <c r="B10" s="176" t="s">
        <v>162</v>
      </c>
      <c r="C10" s="177"/>
      <c r="D10" s="178"/>
      <c r="J10" s="85"/>
      <c r="K10" s="85"/>
    </row>
    <row r="11" spans="2:11" ht="14.5" thickBot="1" x14ac:dyDescent="0.35">
      <c r="B11" s="22" t="s">
        <v>182</v>
      </c>
      <c r="C11" s="73"/>
      <c r="D11" s="74"/>
    </row>
    <row r="13" spans="2:11" ht="14.5" customHeight="1" x14ac:dyDescent="0.3">
      <c r="C13" s="85"/>
      <c r="D13" s="85"/>
    </row>
    <row r="14" spans="2:11" ht="14.5" customHeight="1" x14ac:dyDescent="0.3">
      <c r="C14" s="85"/>
      <c r="D14" s="85"/>
    </row>
    <row r="15" spans="2:11" ht="14.5" customHeight="1" x14ac:dyDescent="0.3">
      <c r="C15" s="85"/>
      <c r="D15" s="85"/>
    </row>
  </sheetData>
  <customSheetViews>
    <customSheetView guid="{41816220-B35C-45A9-9EE2-EC676D322318}">
      <selection activeCell="G1" sqref="G1:L1048576"/>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2">
    <mergeCell ref="B3:D3"/>
    <mergeCell ref="B10:D10"/>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5"/>
    <pageSetUpPr autoPageBreaks="0"/>
  </sheetPr>
  <dimension ref="A1:K40"/>
  <sheetViews>
    <sheetView workbookViewId="0"/>
  </sheetViews>
  <sheetFormatPr defaultColWidth="9.07421875" defaultRowHeight="14" x14ac:dyDescent="0.3"/>
  <cols>
    <col min="1" max="1" width="9.07421875" style="3"/>
    <col min="2" max="2" width="41.4609375" style="3" customWidth="1"/>
    <col min="3" max="3" width="18.69140625" style="3" customWidth="1"/>
    <col min="4" max="4" width="20.07421875" style="3" customWidth="1"/>
    <col min="5" max="16384" width="9.07421875" style="3"/>
  </cols>
  <sheetData>
    <row r="1" spans="1:11" x14ac:dyDescent="0.3">
      <c r="A1" s="95"/>
    </row>
    <row r="2" spans="1:11" ht="14.5" thickBot="1" x14ac:dyDescent="0.35"/>
    <row r="3" spans="1:11" ht="15" customHeight="1" thickBot="1" x14ac:dyDescent="0.35">
      <c r="B3" s="161" t="s">
        <v>184</v>
      </c>
      <c r="C3" s="162"/>
      <c r="D3" s="163"/>
    </row>
    <row r="4" spans="1:11" ht="15" customHeight="1" thickBot="1" x14ac:dyDescent="0.35">
      <c r="B4" s="9"/>
      <c r="C4" s="8" t="s">
        <v>43</v>
      </c>
      <c r="D4" s="8" t="s">
        <v>44</v>
      </c>
      <c r="G4" s="19"/>
    </row>
    <row r="5" spans="1:11" ht="14.15" customHeight="1" x14ac:dyDescent="0.3">
      <c r="B5" s="96" t="s">
        <v>46</v>
      </c>
      <c r="C5" s="97"/>
      <c r="D5" s="98"/>
      <c r="G5" s="19"/>
      <c r="J5" s="17"/>
      <c r="K5" s="17"/>
    </row>
    <row r="6" spans="1:11" ht="14.5" customHeight="1" x14ac:dyDescent="0.3">
      <c r="B6" s="80" t="s">
        <v>32</v>
      </c>
      <c r="C6" s="83"/>
      <c r="D6" s="99"/>
      <c r="G6" s="19"/>
      <c r="J6" s="17"/>
      <c r="K6" s="17"/>
    </row>
    <row r="7" spans="1:11" ht="13.75" customHeight="1" x14ac:dyDescent="0.3">
      <c r="B7" s="4" t="s">
        <v>20</v>
      </c>
      <c r="C7" s="81">
        <v>316802.65999999997</v>
      </c>
      <c r="D7" s="81">
        <v>383080.66</v>
      </c>
      <c r="E7" s="17"/>
      <c r="F7" s="19"/>
      <c r="G7" s="19"/>
      <c r="J7" s="17"/>
      <c r="K7" s="17"/>
    </row>
    <row r="8" spans="1:11" x14ac:dyDescent="0.3">
      <c r="B8" s="4" t="s">
        <v>21</v>
      </c>
      <c r="C8" s="81">
        <v>402992.96</v>
      </c>
      <c r="D8" s="81">
        <v>466602.86</v>
      </c>
      <c r="E8" s="17"/>
      <c r="F8" s="19"/>
      <c r="G8" s="19"/>
      <c r="J8" s="17"/>
      <c r="K8" s="17"/>
    </row>
    <row r="9" spans="1:11" x14ac:dyDescent="0.3">
      <c r="B9" s="4" t="s">
        <v>22</v>
      </c>
      <c r="C9" s="83">
        <v>79.59</v>
      </c>
      <c r="D9" s="99">
        <v>82.64</v>
      </c>
      <c r="E9" s="17"/>
      <c r="F9" s="19"/>
      <c r="G9" s="19"/>
      <c r="J9" s="17"/>
      <c r="K9" s="17"/>
    </row>
    <row r="10" spans="1:11" x14ac:dyDescent="0.3">
      <c r="B10" s="4" t="s">
        <v>23</v>
      </c>
      <c r="C10" s="81">
        <v>95659.02</v>
      </c>
      <c r="D10" s="81">
        <v>87121.49</v>
      </c>
      <c r="E10" s="17"/>
      <c r="F10" s="19"/>
      <c r="G10" s="19"/>
      <c r="J10" s="17"/>
      <c r="K10" s="17"/>
    </row>
    <row r="11" spans="1:11" x14ac:dyDescent="0.3">
      <c r="B11" s="4" t="s">
        <v>24</v>
      </c>
      <c r="C11" s="83">
        <v>3.4</v>
      </c>
      <c r="D11" s="99">
        <v>4.41</v>
      </c>
      <c r="E11" s="17"/>
      <c r="F11" s="19"/>
      <c r="G11" s="19"/>
      <c r="J11" s="17"/>
      <c r="K11" s="17"/>
    </row>
    <row r="12" spans="1:11" x14ac:dyDescent="0.3">
      <c r="B12" s="4" t="s">
        <v>25</v>
      </c>
      <c r="C12" s="67">
        <v>29.48</v>
      </c>
      <c r="D12" s="100">
        <v>32.49</v>
      </c>
      <c r="E12" s="17"/>
      <c r="F12" s="19"/>
      <c r="G12" s="19"/>
      <c r="J12" s="17"/>
      <c r="K12" s="17"/>
    </row>
    <row r="13" spans="1:11" x14ac:dyDescent="0.3">
      <c r="B13" s="4" t="s">
        <v>27</v>
      </c>
      <c r="C13" s="83">
        <v>3.64</v>
      </c>
      <c r="D13" s="99">
        <v>3.5</v>
      </c>
      <c r="E13" s="17"/>
      <c r="F13" s="19"/>
      <c r="G13" s="19"/>
      <c r="J13" s="17"/>
      <c r="K13" s="17"/>
    </row>
    <row r="14" spans="1:11" x14ac:dyDescent="0.3">
      <c r="B14" s="80" t="s">
        <v>31</v>
      </c>
      <c r="C14" s="83"/>
      <c r="D14" s="99"/>
      <c r="E14" s="17"/>
      <c r="F14" s="19"/>
      <c r="G14" s="19"/>
      <c r="J14" s="17"/>
      <c r="K14" s="17"/>
    </row>
    <row r="15" spans="1:11" x14ac:dyDescent="0.3">
      <c r="B15" s="4" t="s">
        <v>33</v>
      </c>
      <c r="C15" s="67">
        <v>35.619999999999997</v>
      </c>
      <c r="D15" s="100">
        <v>33.18</v>
      </c>
      <c r="E15" s="17"/>
      <c r="F15" s="19"/>
      <c r="G15" s="19"/>
      <c r="J15" s="17"/>
      <c r="K15" s="17"/>
    </row>
    <row r="16" spans="1:11" x14ac:dyDescent="0.3">
      <c r="B16" s="4" t="s">
        <v>34</v>
      </c>
      <c r="C16" s="83">
        <v>69.87</v>
      </c>
      <c r="D16" s="99">
        <v>54.91</v>
      </c>
      <c r="E16" s="129"/>
      <c r="F16" s="19"/>
      <c r="G16" s="19"/>
      <c r="J16" s="17"/>
      <c r="K16" s="17"/>
    </row>
    <row r="17" spans="2:11" x14ac:dyDescent="0.3">
      <c r="B17" s="4" t="s">
        <v>42</v>
      </c>
      <c r="C17" s="83">
        <v>48.34</v>
      </c>
      <c r="D17" s="99">
        <v>30.15</v>
      </c>
      <c r="E17" s="17"/>
      <c r="F17" s="19"/>
      <c r="G17" s="19"/>
      <c r="J17" s="17"/>
      <c r="K17" s="17"/>
    </row>
    <row r="18" spans="2:11" x14ac:dyDescent="0.3">
      <c r="B18" s="4" t="s">
        <v>35</v>
      </c>
      <c r="C18" s="83">
        <v>94.89</v>
      </c>
      <c r="D18" s="99">
        <v>95.37</v>
      </c>
      <c r="E18" s="17"/>
      <c r="F18" s="19"/>
      <c r="G18" s="19"/>
      <c r="J18" s="17"/>
      <c r="K18" s="17"/>
    </row>
    <row r="19" spans="2:11" x14ac:dyDescent="0.3">
      <c r="B19" s="4" t="s">
        <v>45</v>
      </c>
      <c r="C19" s="83">
        <v>28.02</v>
      </c>
      <c r="D19" s="99">
        <v>52.38</v>
      </c>
      <c r="E19" s="17"/>
      <c r="F19" s="19"/>
      <c r="G19" s="19"/>
      <c r="J19" s="17"/>
      <c r="K19" s="17"/>
    </row>
    <row r="20" spans="2:11" x14ac:dyDescent="0.3">
      <c r="B20" s="101" t="s">
        <v>47</v>
      </c>
      <c r="C20" s="83"/>
      <c r="D20" s="99"/>
      <c r="E20" s="17"/>
      <c r="F20" s="19"/>
      <c r="G20" s="19"/>
      <c r="J20" s="17"/>
      <c r="K20" s="17"/>
    </row>
    <row r="21" spans="2:11" x14ac:dyDescent="0.3">
      <c r="B21" s="80" t="s">
        <v>32</v>
      </c>
      <c r="C21" s="83"/>
      <c r="D21" s="99"/>
      <c r="E21" s="17"/>
      <c r="F21" s="19"/>
      <c r="G21" s="19"/>
      <c r="J21" s="17"/>
      <c r="K21" s="17"/>
    </row>
    <row r="22" spans="2:11" x14ac:dyDescent="0.3">
      <c r="B22" s="4" t="s">
        <v>20</v>
      </c>
      <c r="C22" s="81">
        <v>371943.4</v>
      </c>
      <c r="D22" s="81">
        <v>523873.93</v>
      </c>
      <c r="E22" s="19"/>
      <c r="F22" s="19"/>
      <c r="G22" s="19"/>
      <c r="J22" s="17"/>
      <c r="K22" s="17"/>
    </row>
    <row r="23" spans="2:11" x14ac:dyDescent="0.3">
      <c r="B23" s="4" t="s">
        <v>21</v>
      </c>
      <c r="C23" s="81">
        <v>595925.37</v>
      </c>
      <c r="D23" s="81">
        <v>714474.48</v>
      </c>
      <c r="E23" s="19"/>
      <c r="F23" s="19"/>
      <c r="G23" s="19"/>
      <c r="J23" s="17"/>
      <c r="K23" s="17"/>
    </row>
    <row r="24" spans="2:11" x14ac:dyDescent="0.3">
      <c r="B24" s="4" t="s">
        <v>22</v>
      </c>
      <c r="C24" s="83">
        <v>64.907144000000002</v>
      </c>
      <c r="D24" s="99">
        <v>74.91</v>
      </c>
      <c r="E24" s="17"/>
      <c r="F24" s="19"/>
      <c r="G24" s="19"/>
      <c r="J24" s="17"/>
      <c r="K24" s="17"/>
    </row>
    <row r="25" spans="2:11" x14ac:dyDescent="0.3">
      <c r="B25" s="4" t="s">
        <v>23</v>
      </c>
      <c r="C25" s="81">
        <v>147449.26</v>
      </c>
      <c r="D25" s="81">
        <v>133025.88</v>
      </c>
      <c r="E25" s="17"/>
      <c r="F25" s="19"/>
      <c r="G25" s="19"/>
      <c r="J25" s="17"/>
      <c r="K25" s="17"/>
    </row>
    <row r="26" spans="2:11" x14ac:dyDescent="0.3">
      <c r="B26" s="4" t="s">
        <v>24</v>
      </c>
      <c r="C26" s="83">
        <v>2.64</v>
      </c>
      <c r="D26" s="99">
        <v>3.95</v>
      </c>
      <c r="E26" s="17"/>
      <c r="F26" s="19"/>
      <c r="G26" s="19"/>
      <c r="J26" s="17"/>
      <c r="K26" s="17"/>
    </row>
    <row r="27" spans="2:11" x14ac:dyDescent="0.3">
      <c r="B27" s="4" t="s">
        <v>25</v>
      </c>
      <c r="C27" s="67">
        <v>23.97</v>
      </c>
      <c r="D27" s="100">
        <v>29.05</v>
      </c>
      <c r="E27" s="17"/>
      <c r="F27" s="19"/>
      <c r="G27" s="19"/>
      <c r="J27" s="17"/>
      <c r="K27" s="17"/>
    </row>
    <row r="28" spans="2:11" x14ac:dyDescent="0.3">
      <c r="B28" s="4" t="s">
        <v>27</v>
      </c>
      <c r="C28" s="83">
        <v>3.63</v>
      </c>
      <c r="D28" s="99">
        <v>3.52</v>
      </c>
      <c r="E28" s="17"/>
      <c r="F28" s="19"/>
      <c r="G28" s="19"/>
      <c r="J28" s="17"/>
      <c r="K28" s="17"/>
    </row>
    <row r="29" spans="2:11" x14ac:dyDescent="0.3">
      <c r="B29" s="80" t="s">
        <v>31</v>
      </c>
      <c r="C29" s="83"/>
      <c r="D29" s="99"/>
      <c r="E29" s="17"/>
      <c r="F29" s="19"/>
      <c r="G29" s="19"/>
      <c r="J29" s="17"/>
      <c r="K29" s="17"/>
    </row>
    <row r="30" spans="2:11" x14ac:dyDescent="0.3">
      <c r="B30" s="4" t="s">
        <v>33</v>
      </c>
      <c r="C30" s="67">
        <v>42.74</v>
      </c>
      <c r="D30" s="100">
        <v>38.72</v>
      </c>
      <c r="E30" s="17"/>
      <c r="F30" s="19"/>
      <c r="J30" s="17"/>
      <c r="K30" s="17"/>
    </row>
    <row r="31" spans="2:11" x14ac:dyDescent="0.3">
      <c r="B31" s="4" t="s">
        <v>34</v>
      </c>
      <c r="C31" s="83">
        <v>79.52</v>
      </c>
      <c r="D31" s="99">
        <v>80.180000000000007</v>
      </c>
      <c r="E31" s="17"/>
      <c r="F31" s="19"/>
      <c r="J31" s="17"/>
      <c r="K31" s="17"/>
    </row>
    <row r="32" spans="2:11" x14ac:dyDescent="0.3">
      <c r="B32" s="4" t="s">
        <v>42</v>
      </c>
      <c r="C32" s="83">
        <v>42.62</v>
      </c>
      <c r="D32" s="99">
        <v>35.200000000000003</v>
      </c>
      <c r="E32" s="17"/>
      <c r="F32" s="19"/>
      <c r="J32" s="17"/>
      <c r="K32" s="17"/>
    </row>
    <row r="33" spans="2:6" x14ac:dyDescent="0.3">
      <c r="B33" s="4" t="s">
        <v>35</v>
      </c>
      <c r="C33" s="83">
        <v>89.82</v>
      </c>
      <c r="D33" s="99">
        <v>92.31</v>
      </c>
      <c r="E33" s="17"/>
      <c r="F33" s="19"/>
    </row>
    <row r="34" spans="2:6" ht="14.5" thickBot="1" x14ac:dyDescent="0.35">
      <c r="B34" s="7" t="s">
        <v>45</v>
      </c>
      <c r="C34" s="102">
        <v>37.270000000000003</v>
      </c>
      <c r="D34" s="103">
        <v>63.23</v>
      </c>
      <c r="E34" s="17"/>
      <c r="F34" s="19"/>
    </row>
    <row r="35" spans="2:6" ht="14.5" thickBot="1" x14ac:dyDescent="0.35">
      <c r="B35" s="43" t="s">
        <v>155</v>
      </c>
      <c r="C35" s="11"/>
      <c r="D35" s="15"/>
    </row>
    <row r="40" spans="2:6" x14ac:dyDescent="0.3">
      <c r="C40" s="104"/>
    </row>
  </sheetData>
  <customSheetViews>
    <customSheetView guid="{41816220-B35C-45A9-9EE2-EC676D322318}" topLeftCell="E1">
      <selection activeCell="G3" sqref="G3:J34"/>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
    <mergeCell ref="B3:D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theme="5"/>
    <pageSetUpPr autoPageBreaks="0"/>
  </sheetPr>
  <dimension ref="B1:AB72"/>
  <sheetViews>
    <sheetView zoomScaleNormal="100" workbookViewId="0"/>
  </sheetViews>
  <sheetFormatPr defaultColWidth="9" defaultRowHeight="11.5" x14ac:dyDescent="0.25"/>
  <cols>
    <col min="1" max="1" width="9" style="46"/>
    <col min="2" max="2" width="9.69140625" style="50" customWidth="1"/>
    <col min="3" max="3" width="18.69140625" style="46" customWidth="1"/>
    <col min="4" max="4" width="12.4609375" style="46" customWidth="1"/>
    <col min="5" max="5" width="16" style="46" customWidth="1"/>
    <col min="6" max="6" width="12.4609375" style="46" customWidth="1"/>
    <col min="7" max="9" width="12.69140625" style="46" customWidth="1"/>
    <col min="10" max="10" width="16" style="46" customWidth="1"/>
    <col min="11" max="11" width="12.4609375" style="46" customWidth="1"/>
    <col min="12" max="12" width="12.69140625" style="46" customWidth="1"/>
    <col min="13" max="14" width="12.4609375" style="46" customWidth="1"/>
    <col min="15" max="15" width="16" style="46" customWidth="1"/>
    <col min="16" max="16" width="12.4609375" style="46" customWidth="1"/>
    <col min="17" max="17" width="12.69140625" style="46" customWidth="1"/>
    <col min="18" max="19" width="12.3046875" style="46" customWidth="1"/>
    <col min="20" max="20" width="15.69140625" style="46" customWidth="1"/>
    <col min="21" max="21" width="12.3046875" style="46" customWidth="1"/>
    <col min="22" max="22" width="19.69140625" style="46" customWidth="1"/>
    <col min="23" max="23" width="17.69140625" style="46" customWidth="1"/>
    <col min="24" max="24" width="16" style="46" customWidth="1"/>
    <col min="25" max="25" width="18.07421875" style="46" customWidth="1"/>
    <col min="26" max="26" width="10.3046875" style="46" customWidth="1"/>
    <col min="27" max="27" width="7.07421875" style="46" customWidth="1"/>
    <col min="28" max="16384" width="9" style="46"/>
  </cols>
  <sheetData>
    <row r="1" spans="2:28" ht="12" thickBot="1" x14ac:dyDescent="0.3"/>
    <row r="2" spans="2:28" ht="14.5" thickBot="1" x14ac:dyDescent="0.35">
      <c r="B2" s="148" t="s">
        <v>205</v>
      </c>
      <c r="C2" s="149"/>
      <c r="D2" s="149"/>
      <c r="E2" s="149"/>
      <c r="F2" s="149"/>
      <c r="G2" s="150"/>
      <c r="H2" s="3"/>
      <c r="I2" s="148" t="s">
        <v>206</v>
      </c>
      <c r="J2" s="149"/>
      <c r="K2" s="149"/>
      <c r="L2" s="149"/>
      <c r="M2" s="149"/>
      <c r="N2" s="150"/>
      <c r="O2" s="3"/>
      <c r="P2" s="148" t="s">
        <v>207</v>
      </c>
      <c r="Q2" s="149"/>
      <c r="R2" s="149"/>
      <c r="S2" s="149"/>
      <c r="T2" s="149"/>
      <c r="U2" s="150"/>
      <c r="V2" s="3"/>
      <c r="W2" s="148" t="s">
        <v>208</v>
      </c>
      <c r="X2" s="149"/>
      <c r="Y2" s="149"/>
      <c r="Z2" s="149"/>
      <c r="AA2" s="149"/>
      <c r="AB2" s="150"/>
    </row>
    <row r="3" spans="2:28" ht="15" customHeight="1" thickBot="1" x14ac:dyDescent="0.3"/>
    <row r="4" spans="2:28" x14ac:dyDescent="0.25">
      <c r="B4" s="39"/>
      <c r="C4" s="41"/>
      <c r="D4" s="41"/>
      <c r="E4" s="41"/>
      <c r="F4" s="41"/>
      <c r="G4" s="42"/>
      <c r="H4" s="51"/>
      <c r="I4" s="39"/>
      <c r="J4" s="41"/>
      <c r="K4" s="41"/>
      <c r="L4" s="41"/>
      <c r="M4" s="41"/>
      <c r="N4" s="42"/>
      <c r="P4" s="39"/>
      <c r="Q4" s="41"/>
      <c r="R4" s="41"/>
      <c r="S4" s="41"/>
      <c r="T4" s="41"/>
      <c r="U4" s="42"/>
      <c r="W4" s="39"/>
      <c r="X4" s="41"/>
      <c r="Y4" s="41"/>
      <c r="Z4" s="41"/>
      <c r="AA4" s="41"/>
      <c r="AB4" s="42"/>
    </row>
    <row r="5" spans="2:28" x14ac:dyDescent="0.25">
      <c r="B5" s="40"/>
      <c r="C5" s="47"/>
      <c r="D5" s="47"/>
      <c r="E5" s="47"/>
      <c r="F5" s="47"/>
      <c r="G5" s="48"/>
      <c r="I5" s="40"/>
      <c r="J5" s="47"/>
      <c r="K5" s="47"/>
      <c r="L5" s="47"/>
      <c r="M5" s="47"/>
      <c r="N5" s="48"/>
      <c r="P5" s="40"/>
      <c r="Q5" s="47"/>
      <c r="R5" s="47"/>
      <c r="S5" s="47"/>
      <c r="T5" s="47"/>
      <c r="U5" s="48"/>
      <c r="W5" s="40"/>
      <c r="X5" s="47"/>
      <c r="Y5" s="47"/>
      <c r="Z5" s="47"/>
      <c r="AA5" s="47"/>
      <c r="AB5" s="48"/>
    </row>
    <row r="6" spans="2:28" x14ac:dyDescent="0.25">
      <c r="B6" s="40"/>
      <c r="C6" s="47"/>
      <c r="D6" s="47"/>
      <c r="E6" s="47"/>
      <c r="F6" s="47"/>
      <c r="G6" s="48"/>
      <c r="I6" s="40"/>
      <c r="J6" s="47"/>
      <c r="K6" s="47"/>
      <c r="L6" s="47"/>
      <c r="M6" s="47"/>
      <c r="N6" s="48"/>
      <c r="P6" s="40"/>
      <c r="Q6" s="47"/>
      <c r="R6" s="47"/>
      <c r="S6" s="47"/>
      <c r="T6" s="47"/>
      <c r="U6" s="48"/>
      <c r="W6" s="40"/>
      <c r="X6" s="47"/>
      <c r="Y6" s="47"/>
      <c r="Z6" s="47"/>
      <c r="AA6" s="47"/>
      <c r="AB6" s="48"/>
    </row>
    <row r="7" spans="2:28" x14ac:dyDescent="0.25">
      <c r="B7" s="40"/>
      <c r="C7" s="47"/>
      <c r="D7" s="47"/>
      <c r="E7" s="47"/>
      <c r="F7" s="47"/>
      <c r="G7" s="48"/>
      <c r="I7" s="40"/>
      <c r="J7" s="47"/>
      <c r="K7" s="47"/>
      <c r="L7" s="47"/>
      <c r="M7" s="47"/>
      <c r="N7" s="48"/>
      <c r="P7" s="40"/>
      <c r="Q7" s="47"/>
      <c r="R7" s="47"/>
      <c r="S7" s="47"/>
      <c r="T7" s="47"/>
      <c r="U7" s="48"/>
      <c r="W7" s="40"/>
      <c r="X7" s="47"/>
      <c r="Y7" s="47"/>
      <c r="Z7" s="47"/>
      <c r="AA7" s="47"/>
      <c r="AB7" s="48"/>
    </row>
    <row r="8" spans="2:28" x14ac:dyDescent="0.25">
      <c r="B8" s="40"/>
      <c r="C8" s="47"/>
      <c r="D8" s="47"/>
      <c r="E8" s="47"/>
      <c r="F8" s="47"/>
      <c r="G8" s="48"/>
      <c r="I8" s="40"/>
      <c r="J8" s="47"/>
      <c r="K8" s="47"/>
      <c r="L8" s="47"/>
      <c r="M8" s="47"/>
      <c r="N8" s="48"/>
      <c r="P8" s="40"/>
      <c r="Q8" s="47"/>
      <c r="R8" s="47"/>
      <c r="S8" s="47"/>
      <c r="T8" s="47"/>
      <c r="U8" s="48"/>
      <c r="W8" s="40"/>
      <c r="X8" s="47"/>
      <c r="Y8" s="47"/>
      <c r="Z8" s="47"/>
      <c r="AA8" s="47"/>
      <c r="AB8" s="48"/>
    </row>
    <row r="9" spans="2:28" x14ac:dyDescent="0.25">
      <c r="B9" s="40"/>
      <c r="C9" s="47"/>
      <c r="D9" s="47"/>
      <c r="E9" s="47"/>
      <c r="F9" s="47"/>
      <c r="G9" s="48"/>
      <c r="I9" s="40"/>
      <c r="J9" s="47"/>
      <c r="K9" s="47"/>
      <c r="L9" s="47"/>
      <c r="M9" s="47"/>
      <c r="N9" s="48"/>
      <c r="P9" s="40"/>
      <c r="Q9" s="47"/>
      <c r="R9" s="47"/>
      <c r="S9" s="47"/>
      <c r="T9" s="47"/>
      <c r="U9" s="48"/>
      <c r="W9" s="40"/>
      <c r="X9" s="47"/>
      <c r="Y9" s="47"/>
      <c r="Z9" s="47"/>
      <c r="AA9" s="47"/>
      <c r="AB9" s="48"/>
    </row>
    <row r="10" spans="2:28" x14ac:dyDescent="0.25">
      <c r="B10" s="40"/>
      <c r="C10" s="47"/>
      <c r="D10" s="47"/>
      <c r="E10" s="47"/>
      <c r="F10" s="47"/>
      <c r="G10" s="48"/>
      <c r="I10" s="40"/>
      <c r="J10" s="47"/>
      <c r="K10" s="47"/>
      <c r="L10" s="47"/>
      <c r="M10" s="47"/>
      <c r="N10" s="48"/>
      <c r="P10" s="40"/>
      <c r="Q10" s="47"/>
      <c r="R10" s="47"/>
      <c r="S10" s="47"/>
      <c r="T10" s="47"/>
      <c r="U10" s="48"/>
      <c r="W10" s="40"/>
      <c r="X10" s="47"/>
      <c r="Y10" s="47"/>
      <c r="Z10" s="47"/>
      <c r="AA10" s="47"/>
      <c r="AB10" s="48"/>
    </row>
    <row r="11" spans="2:28" x14ac:dyDescent="0.25">
      <c r="B11" s="40"/>
      <c r="C11" s="47"/>
      <c r="D11" s="47"/>
      <c r="E11" s="47"/>
      <c r="F11" s="47"/>
      <c r="G11" s="48"/>
      <c r="I11" s="40"/>
      <c r="J11" s="47"/>
      <c r="K11" s="47"/>
      <c r="L11" s="47"/>
      <c r="M11" s="47"/>
      <c r="N11" s="48"/>
      <c r="P11" s="40"/>
      <c r="Q11" s="47"/>
      <c r="R11" s="47"/>
      <c r="S11" s="47"/>
      <c r="T11" s="47"/>
      <c r="U11" s="48"/>
      <c r="W11" s="40"/>
      <c r="X11" s="47"/>
      <c r="Y11" s="47"/>
      <c r="Z11" s="47"/>
      <c r="AA11" s="47"/>
      <c r="AB11" s="48"/>
    </row>
    <row r="12" spans="2:28" x14ac:dyDescent="0.25">
      <c r="B12" s="40"/>
      <c r="C12" s="47"/>
      <c r="D12" s="47"/>
      <c r="E12" s="47"/>
      <c r="F12" s="47"/>
      <c r="G12" s="48"/>
      <c r="I12" s="40"/>
      <c r="J12" s="47"/>
      <c r="K12" s="47"/>
      <c r="L12" s="47"/>
      <c r="M12" s="47"/>
      <c r="N12" s="48"/>
      <c r="P12" s="40"/>
      <c r="Q12" s="47"/>
      <c r="R12" s="47"/>
      <c r="S12" s="47"/>
      <c r="T12" s="47"/>
      <c r="U12" s="48"/>
      <c r="W12" s="40"/>
      <c r="X12" s="47"/>
      <c r="Y12" s="47"/>
      <c r="Z12" s="47"/>
      <c r="AA12" s="47"/>
      <c r="AB12" s="48"/>
    </row>
    <row r="13" spans="2:28" x14ac:dyDescent="0.25">
      <c r="B13" s="40"/>
      <c r="C13" s="47"/>
      <c r="D13" s="47"/>
      <c r="E13" s="47"/>
      <c r="F13" s="47"/>
      <c r="G13" s="48"/>
      <c r="I13" s="40"/>
      <c r="J13" s="47"/>
      <c r="K13" s="47"/>
      <c r="L13" s="47"/>
      <c r="M13" s="47"/>
      <c r="N13" s="48"/>
      <c r="P13" s="40"/>
      <c r="Q13" s="47"/>
      <c r="R13" s="47"/>
      <c r="S13" s="47"/>
      <c r="T13" s="47"/>
      <c r="U13" s="48"/>
      <c r="W13" s="40"/>
      <c r="X13" s="47"/>
      <c r="Y13" s="47"/>
      <c r="Z13" s="47"/>
      <c r="AA13" s="47"/>
      <c r="AB13" s="48"/>
    </row>
    <row r="14" spans="2:28" x14ac:dyDescent="0.25">
      <c r="B14" s="40"/>
      <c r="C14" s="47"/>
      <c r="D14" s="47"/>
      <c r="E14" s="47"/>
      <c r="F14" s="47"/>
      <c r="G14" s="48"/>
      <c r="I14" s="40"/>
      <c r="J14" s="47"/>
      <c r="K14" s="47"/>
      <c r="L14" s="47"/>
      <c r="M14" s="47"/>
      <c r="N14" s="48"/>
      <c r="P14" s="40"/>
      <c r="Q14" s="47"/>
      <c r="R14" s="47"/>
      <c r="S14" s="47"/>
      <c r="T14" s="47"/>
      <c r="U14" s="48"/>
      <c r="W14" s="40"/>
      <c r="X14" s="47"/>
      <c r="Y14" s="47"/>
      <c r="Z14" s="47"/>
      <c r="AA14" s="47"/>
      <c r="AB14" s="48"/>
    </row>
    <row r="15" spans="2:28" x14ac:dyDescent="0.25">
      <c r="B15" s="40"/>
      <c r="C15" s="47"/>
      <c r="D15" s="47"/>
      <c r="E15" s="47"/>
      <c r="F15" s="47"/>
      <c r="G15" s="48"/>
      <c r="I15" s="40"/>
      <c r="J15" s="47"/>
      <c r="K15" s="47"/>
      <c r="L15" s="47"/>
      <c r="M15" s="47"/>
      <c r="N15" s="48"/>
      <c r="P15" s="40"/>
      <c r="Q15" s="47"/>
      <c r="R15" s="47"/>
      <c r="S15" s="47"/>
      <c r="T15" s="47"/>
      <c r="U15" s="48"/>
      <c r="W15" s="40"/>
      <c r="X15" s="47"/>
      <c r="Y15" s="47"/>
      <c r="Z15" s="47"/>
      <c r="AA15" s="47"/>
      <c r="AB15" s="48"/>
    </row>
    <row r="16" spans="2:28" x14ac:dyDescent="0.25">
      <c r="B16" s="40"/>
      <c r="C16" s="47"/>
      <c r="D16" s="47"/>
      <c r="E16" s="47"/>
      <c r="F16" s="47"/>
      <c r="G16" s="48"/>
      <c r="I16" s="40"/>
      <c r="J16" s="47"/>
      <c r="K16" s="47"/>
      <c r="L16" s="47"/>
      <c r="M16" s="47"/>
      <c r="N16" s="48"/>
      <c r="P16" s="40"/>
      <c r="Q16" s="47"/>
      <c r="R16" s="47"/>
      <c r="S16" s="47"/>
      <c r="T16" s="47"/>
      <c r="U16" s="48"/>
      <c r="W16" s="40"/>
      <c r="X16" s="47"/>
      <c r="Y16" s="47"/>
      <c r="Z16" s="47"/>
      <c r="AA16" s="47"/>
      <c r="AB16" s="48"/>
    </row>
    <row r="17" spans="2:28" x14ac:dyDescent="0.25">
      <c r="B17" s="40"/>
      <c r="C17" s="47"/>
      <c r="D17" s="47"/>
      <c r="E17" s="47"/>
      <c r="F17" s="47"/>
      <c r="G17" s="48"/>
      <c r="I17" s="40"/>
      <c r="J17" s="47"/>
      <c r="K17" s="47"/>
      <c r="L17" s="47"/>
      <c r="M17" s="47"/>
      <c r="N17" s="48"/>
      <c r="P17" s="40"/>
      <c r="Q17" s="47"/>
      <c r="R17" s="47"/>
      <c r="S17" s="47"/>
      <c r="T17" s="47"/>
      <c r="U17" s="48"/>
      <c r="W17" s="40"/>
      <c r="X17" s="47"/>
      <c r="Y17" s="47"/>
      <c r="Z17" s="47"/>
      <c r="AA17" s="47"/>
      <c r="AB17" s="48"/>
    </row>
    <row r="18" spans="2:28" x14ac:dyDescent="0.25">
      <c r="B18" s="40"/>
      <c r="C18" s="47"/>
      <c r="D18" s="47"/>
      <c r="E18" s="47"/>
      <c r="F18" s="47"/>
      <c r="G18" s="48"/>
      <c r="I18" s="40"/>
      <c r="J18" s="47"/>
      <c r="K18" s="47"/>
      <c r="L18" s="47"/>
      <c r="M18" s="47"/>
      <c r="N18" s="48"/>
      <c r="P18" s="40"/>
      <c r="Q18" s="47"/>
      <c r="R18" s="47"/>
      <c r="S18" s="47"/>
      <c r="T18" s="47"/>
      <c r="U18" s="48"/>
      <c r="W18" s="40"/>
      <c r="X18" s="47"/>
      <c r="Y18" s="47"/>
      <c r="Z18" s="47"/>
      <c r="AA18" s="47"/>
      <c r="AB18" s="48"/>
    </row>
    <row r="19" spans="2:28" x14ac:dyDescent="0.25">
      <c r="B19" s="40"/>
      <c r="C19" s="47"/>
      <c r="D19" s="47"/>
      <c r="E19" s="47"/>
      <c r="F19" s="47"/>
      <c r="G19" s="48"/>
      <c r="I19" s="40"/>
      <c r="J19" s="47"/>
      <c r="K19" s="47"/>
      <c r="L19" s="47"/>
      <c r="M19" s="47"/>
      <c r="N19" s="48"/>
      <c r="P19" s="40"/>
      <c r="Q19" s="47"/>
      <c r="R19" s="47"/>
      <c r="S19" s="47"/>
      <c r="T19" s="47"/>
      <c r="U19" s="48"/>
      <c r="W19" s="40"/>
      <c r="X19" s="47"/>
      <c r="Y19" s="47"/>
      <c r="Z19" s="47"/>
      <c r="AA19" s="47"/>
      <c r="AB19" s="48"/>
    </row>
    <row r="20" spans="2:28" x14ac:dyDescent="0.25">
      <c r="B20" s="40"/>
      <c r="C20" s="47"/>
      <c r="D20" s="47"/>
      <c r="E20" s="47"/>
      <c r="F20" s="47"/>
      <c r="G20" s="48"/>
      <c r="I20" s="40"/>
      <c r="J20" s="47"/>
      <c r="K20" s="47"/>
      <c r="L20" s="47"/>
      <c r="M20" s="47"/>
      <c r="N20" s="48"/>
      <c r="P20" s="40"/>
      <c r="Q20" s="47"/>
      <c r="R20" s="47"/>
      <c r="S20" s="47"/>
      <c r="T20" s="47"/>
      <c r="U20" s="48"/>
      <c r="W20" s="40"/>
      <c r="X20" s="47"/>
      <c r="Y20" s="47"/>
      <c r="Z20" s="47"/>
      <c r="AA20" s="47"/>
      <c r="AB20" s="48"/>
    </row>
    <row r="21" spans="2:28" x14ac:dyDescent="0.25">
      <c r="B21" s="40"/>
      <c r="C21" s="47"/>
      <c r="D21" s="47"/>
      <c r="E21" s="47"/>
      <c r="F21" s="47"/>
      <c r="G21" s="48"/>
      <c r="I21" s="40"/>
      <c r="J21" s="47"/>
      <c r="K21" s="47"/>
      <c r="L21" s="47"/>
      <c r="M21" s="47"/>
      <c r="N21" s="48"/>
      <c r="P21" s="40"/>
      <c r="Q21" s="47"/>
      <c r="R21" s="47"/>
      <c r="S21" s="47"/>
      <c r="T21" s="47"/>
      <c r="U21" s="48"/>
      <c r="W21" s="40"/>
      <c r="X21" s="47"/>
      <c r="Y21" s="47"/>
      <c r="Z21" s="47"/>
      <c r="AA21" s="47"/>
      <c r="AB21" s="48"/>
    </row>
    <row r="22" spans="2:28" x14ac:dyDescent="0.25">
      <c r="B22" s="40"/>
      <c r="C22" s="47"/>
      <c r="D22" s="47"/>
      <c r="E22" s="47"/>
      <c r="F22" s="47"/>
      <c r="G22" s="48"/>
      <c r="I22" s="40"/>
      <c r="J22" s="47"/>
      <c r="K22" s="47"/>
      <c r="L22" s="47"/>
      <c r="M22" s="47"/>
      <c r="N22" s="48"/>
      <c r="P22" s="40"/>
      <c r="Q22" s="47"/>
      <c r="R22" s="47"/>
      <c r="S22" s="47"/>
      <c r="T22" s="47"/>
      <c r="U22" s="48"/>
      <c r="W22" s="40"/>
      <c r="X22" s="47"/>
      <c r="Y22" s="47"/>
      <c r="Z22" s="47"/>
      <c r="AA22" s="47"/>
      <c r="AB22" s="48"/>
    </row>
    <row r="23" spans="2:28" x14ac:dyDescent="0.25">
      <c r="B23" s="40"/>
      <c r="C23" s="47"/>
      <c r="D23" s="47"/>
      <c r="E23" s="47"/>
      <c r="F23" s="47"/>
      <c r="G23" s="48"/>
      <c r="I23" s="40"/>
      <c r="J23" s="47"/>
      <c r="K23" s="47"/>
      <c r="L23" s="47"/>
      <c r="M23" s="47"/>
      <c r="N23" s="48"/>
      <c r="P23" s="40"/>
      <c r="Q23" s="47"/>
      <c r="R23" s="47"/>
      <c r="S23" s="47"/>
      <c r="T23" s="47"/>
      <c r="U23" s="48"/>
      <c r="W23" s="40"/>
      <c r="X23" s="47"/>
      <c r="Y23" s="47"/>
      <c r="Z23" s="47"/>
      <c r="AA23" s="47"/>
      <c r="AB23" s="48"/>
    </row>
    <row r="24" spans="2:28" ht="12" thickBot="1" x14ac:dyDescent="0.3">
      <c r="B24" s="52"/>
      <c r="C24" s="44"/>
      <c r="D24" s="44"/>
      <c r="E24" s="44"/>
      <c r="F24" s="44"/>
      <c r="G24" s="45"/>
      <c r="I24" s="52"/>
      <c r="J24" s="44"/>
      <c r="K24" s="44"/>
      <c r="L24" s="44"/>
      <c r="M24" s="44"/>
      <c r="N24" s="45"/>
      <c r="P24" s="52"/>
      <c r="Q24" s="44"/>
      <c r="R24" s="44"/>
      <c r="S24" s="44"/>
      <c r="T24" s="44"/>
      <c r="U24" s="45"/>
      <c r="W24" s="52"/>
      <c r="X24" s="44"/>
      <c r="Y24" s="44"/>
      <c r="Z24" s="44"/>
      <c r="AA24" s="44"/>
      <c r="AB24" s="45"/>
    </row>
    <row r="27" spans="2:28" x14ac:dyDescent="0.25">
      <c r="B27" s="46"/>
      <c r="E27" s="50"/>
    </row>
    <row r="28" spans="2:28" x14ac:dyDescent="0.25">
      <c r="B28" s="46"/>
      <c r="E28" s="50"/>
    </row>
    <row r="29" spans="2:28" ht="12" thickBot="1" x14ac:dyDescent="0.3"/>
    <row r="30" spans="2:28" ht="14.5" thickBot="1" x14ac:dyDescent="0.35">
      <c r="B30" s="106"/>
      <c r="C30" s="180" t="s">
        <v>82</v>
      </c>
      <c r="D30" s="180"/>
      <c r="E30" s="180"/>
      <c r="F30" s="180"/>
      <c r="G30" s="181"/>
      <c r="H30" s="179" t="s">
        <v>83</v>
      </c>
      <c r="I30" s="180"/>
      <c r="J30" s="180"/>
      <c r="K30" s="180"/>
      <c r="L30" s="181"/>
      <c r="M30" s="179" t="s">
        <v>84</v>
      </c>
      <c r="N30" s="180"/>
      <c r="O30" s="180"/>
      <c r="P30" s="180"/>
      <c r="Q30" s="181"/>
      <c r="R30" s="179" t="s">
        <v>85</v>
      </c>
      <c r="S30" s="180"/>
      <c r="T30" s="180"/>
      <c r="U30" s="180"/>
      <c r="V30" s="181"/>
    </row>
    <row r="31" spans="2:28" ht="14.5" thickBot="1" x14ac:dyDescent="0.35">
      <c r="B31" s="107"/>
      <c r="C31" s="108" t="s">
        <v>62</v>
      </c>
      <c r="D31" s="108" t="s">
        <v>63</v>
      </c>
      <c r="E31" s="108" t="s">
        <v>64</v>
      </c>
      <c r="F31" s="108" t="s">
        <v>65</v>
      </c>
      <c r="G31" s="109" t="s">
        <v>66</v>
      </c>
      <c r="H31" s="108" t="s">
        <v>67</v>
      </c>
      <c r="I31" s="108" t="s">
        <v>68</v>
      </c>
      <c r="J31" s="108" t="s">
        <v>69</v>
      </c>
      <c r="K31" s="108" t="s">
        <v>70</v>
      </c>
      <c r="L31" s="109" t="s">
        <v>71</v>
      </c>
      <c r="M31" s="108" t="s">
        <v>72</v>
      </c>
      <c r="N31" s="108" t="s">
        <v>73</v>
      </c>
      <c r="O31" s="108" t="s">
        <v>74</v>
      </c>
      <c r="P31" s="108" t="s">
        <v>75</v>
      </c>
      <c r="Q31" s="109" t="s">
        <v>76</v>
      </c>
      <c r="R31" s="108" t="s">
        <v>77</v>
      </c>
      <c r="S31" s="108" t="s">
        <v>78</v>
      </c>
      <c r="T31" s="108" t="s">
        <v>79</v>
      </c>
      <c r="U31" s="108" t="s">
        <v>80</v>
      </c>
      <c r="V31" s="108" t="s">
        <v>81</v>
      </c>
    </row>
    <row r="32" spans="2:28" ht="14" x14ac:dyDescent="0.3">
      <c r="B32" s="114">
        <v>2006</v>
      </c>
      <c r="C32" s="110">
        <v>2.6</v>
      </c>
      <c r="D32" s="110">
        <v>3.45</v>
      </c>
      <c r="E32" s="110">
        <v>4.25</v>
      </c>
      <c r="F32" s="110">
        <v>5</v>
      </c>
      <c r="G32" s="110">
        <v>5.7</v>
      </c>
      <c r="H32" s="111">
        <v>48</v>
      </c>
      <c r="I32" s="111">
        <v>72</v>
      </c>
      <c r="J32" s="111">
        <v>92</v>
      </c>
      <c r="K32" s="111">
        <v>100</v>
      </c>
      <c r="L32" s="111">
        <v>100</v>
      </c>
      <c r="M32" s="110">
        <v>1.45</v>
      </c>
      <c r="N32" s="110">
        <v>2.35</v>
      </c>
      <c r="O32" s="110">
        <v>3.45</v>
      </c>
      <c r="P32" s="110">
        <v>4.55</v>
      </c>
      <c r="Q32" s="110">
        <v>5.55</v>
      </c>
      <c r="R32" s="111">
        <v>19</v>
      </c>
      <c r="S32" s="111">
        <v>36</v>
      </c>
      <c r="T32" s="111">
        <v>59</v>
      </c>
      <c r="U32" s="111">
        <v>80</v>
      </c>
      <c r="V32" s="112">
        <v>91</v>
      </c>
    </row>
    <row r="33" spans="2:22" ht="14" x14ac:dyDescent="0.3">
      <c r="B33" s="115">
        <v>2007</v>
      </c>
      <c r="C33" s="116">
        <v>2.7</v>
      </c>
      <c r="D33" s="116">
        <v>3.6</v>
      </c>
      <c r="E33" s="116">
        <v>4.4000000000000004</v>
      </c>
      <c r="F33" s="116">
        <v>5.15</v>
      </c>
      <c r="G33" s="116">
        <v>5.85</v>
      </c>
      <c r="H33" s="117">
        <v>46</v>
      </c>
      <c r="I33" s="117">
        <v>65</v>
      </c>
      <c r="J33" s="117">
        <v>90</v>
      </c>
      <c r="K33" s="117">
        <v>98</v>
      </c>
      <c r="L33" s="117">
        <v>100</v>
      </c>
      <c r="M33" s="116">
        <v>1.45</v>
      </c>
      <c r="N33" s="116">
        <v>2.4500000000000002</v>
      </c>
      <c r="O33" s="116">
        <v>3.55</v>
      </c>
      <c r="P33" s="116">
        <v>4.5999999999999996</v>
      </c>
      <c r="Q33" s="116">
        <v>5.6</v>
      </c>
      <c r="R33" s="117">
        <v>20</v>
      </c>
      <c r="S33" s="117">
        <v>38</v>
      </c>
      <c r="T33" s="117">
        <v>62</v>
      </c>
      <c r="U33" s="117">
        <v>81</v>
      </c>
      <c r="V33" s="113">
        <v>92</v>
      </c>
    </row>
    <row r="34" spans="2:22" ht="14" x14ac:dyDescent="0.3">
      <c r="B34" s="115">
        <v>2008</v>
      </c>
      <c r="C34" s="116">
        <v>2.8</v>
      </c>
      <c r="D34" s="116">
        <v>3.65</v>
      </c>
      <c r="E34" s="116">
        <v>4.5</v>
      </c>
      <c r="F34" s="116">
        <v>5.3</v>
      </c>
      <c r="G34" s="116">
        <v>6</v>
      </c>
      <c r="H34" s="117">
        <v>47</v>
      </c>
      <c r="I34" s="117">
        <v>64</v>
      </c>
      <c r="J34" s="117">
        <v>87</v>
      </c>
      <c r="K34" s="117">
        <v>94</v>
      </c>
      <c r="L34" s="117">
        <v>100</v>
      </c>
      <c r="M34" s="116">
        <v>1.4</v>
      </c>
      <c r="N34" s="116">
        <v>2.35</v>
      </c>
      <c r="O34" s="116">
        <v>3.4</v>
      </c>
      <c r="P34" s="116">
        <v>4.45</v>
      </c>
      <c r="Q34" s="116">
        <v>5.4</v>
      </c>
      <c r="R34" s="117">
        <v>20</v>
      </c>
      <c r="S34" s="117">
        <v>37</v>
      </c>
      <c r="T34" s="117">
        <v>60</v>
      </c>
      <c r="U34" s="117">
        <v>80</v>
      </c>
      <c r="V34" s="113">
        <v>92</v>
      </c>
    </row>
    <row r="35" spans="2:22" ht="14" x14ac:dyDescent="0.3">
      <c r="B35" s="115">
        <v>2009</v>
      </c>
      <c r="C35" s="116">
        <v>2.65</v>
      </c>
      <c r="D35" s="116">
        <v>3.4</v>
      </c>
      <c r="E35" s="116">
        <v>4.2</v>
      </c>
      <c r="F35" s="116">
        <v>5</v>
      </c>
      <c r="G35" s="116">
        <v>5.6</v>
      </c>
      <c r="H35" s="117">
        <v>49</v>
      </c>
      <c r="I35" s="117">
        <v>66</v>
      </c>
      <c r="J35" s="117">
        <v>81</v>
      </c>
      <c r="K35" s="117">
        <v>92</v>
      </c>
      <c r="L35" s="117">
        <v>92</v>
      </c>
      <c r="M35" s="116">
        <v>1.25</v>
      </c>
      <c r="N35" s="116">
        <v>2.0499999999999998</v>
      </c>
      <c r="O35" s="116">
        <v>3.15</v>
      </c>
      <c r="P35" s="116">
        <v>4.2</v>
      </c>
      <c r="Q35" s="116">
        <v>5.25</v>
      </c>
      <c r="R35" s="117">
        <v>19</v>
      </c>
      <c r="S35" s="117">
        <v>36</v>
      </c>
      <c r="T35" s="117">
        <v>60</v>
      </c>
      <c r="U35" s="117">
        <v>82</v>
      </c>
      <c r="V35" s="113">
        <v>92</v>
      </c>
    </row>
    <row r="36" spans="2:22" ht="14" x14ac:dyDescent="0.3">
      <c r="B36" s="115">
        <v>2010</v>
      </c>
      <c r="C36" s="116">
        <v>2.4</v>
      </c>
      <c r="D36" s="116">
        <v>3.1</v>
      </c>
      <c r="E36" s="116">
        <v>3.95</v>
      </c>
      <c r="F36" s="116">
        <v>4.7</v>
      </c>
      <c r="G36" s="116">
        <v>5.25</v>
      </c>
      <c r="H36" s="117">
        <v>50</v>
      </c>
      <c r="I36" s="117">
        <v>71</v>
      </c>
      <c r="J36" s="117">
        <v>85</v>
      </c>
      <c r="K36" s="117">
        <v>92</v>
      </c>
      <c r="L36" s="117">
        <v>92</v>
      </c>
      <c r="M36" s="116">
        <v>1.2</v>
      </c>
      <c r="N36" s="116">
        <v>2</v>
      </c>
      <c r="O36" s="116">
        <v>2.95</v>
      </c>
      <c r="P36" s="116">
        <v>3.95</v>
      </c>
      <c r="Q36" s="116">
        <v>4.9000000000000004</v>
      </c>
      <c r="R36" s="117">
        <v>22</v>
      </c>
      <c r="S36" s="117">
        <v>40</v>
      </c>
      <c r="T36" s="117">
        <v>66</v>
      </c>
      <c r="U36" s="117">
        <v>86</v>
      </c>
      <c r="V36" s="113">
        <v>92</v>
      </c>
    </row>
    <row r="37" spans="2:22" ht="14" x14ac:dyDescent="0.3">
      <c r="B37" s="115">
        <v>2011</v>
      </c>
      <c r="C37" s="116">
        <v>2</v>
      </c>
      <c r="D37" s="116">
        <v>2.6</v>
      </c>
      <c r="E37" s="116">
        <v>3.4</v>
      </c>
      <c r="F37" s="116">
        <v>4.2</v>
      </c>
      <c r="G37" s="116">
        <v>4.75</v>
      </c>
      <c r="H37" s="117">
        <v>42</v>
      </c>
      <c r="I37" s="117">
        <v>66</v>
      </c>
      <c r="J37" s="117">
        <v>85</v>
      </c>
      <c r="K37" s="117">
        <v>90</v>
      </c>
      <c r="L37" s="117">
        <v>92</v>
      </c>
      <c r="M37" s="116">
        <v>1.05</v>
      </c>
      <c r="N37" s="116">
        <v>1.55</v>
      </c>
      <c r="O37" s="116">
        <v>2.25</v>
      </c>
      <c r="P37" s="116">
        <v>3</v>
      </c>
      <c r="Q37" s="116">
        <v>3.7</v>
      </c>
      <c r="R37" s="117">
        <v>20</v>
      </c>
      <c r="S37" s="117">
        <v>38</v>
      </c>
      <c r="T37" s="117">
        <v>63</v>
      </c>
      <c r="U37" s="117">
        <v>84</v>
      </c>
      <c r="V37" s="113">
        <v>92</v>
      </c>
    </row>
    <row r="38" spans="2:22" ht="14" x14ac:dyDescent="0.3">
      <c r="B38" s="115">
        <v>2012</v>
      </c>
      <c r="C38" s="116">
        <v>1.65</v>
      </c>
      <c r="D38" s="116">
        <v>2.25</v>
      </c>
      <c r="E38" s="116">
        <v>3</v>
      </c>
      <c r="F38" s="116">
        <v>3.75</v>
      </c>
      <c r="G38" s="116">
        <v>4.4000000000000004</v>
      </c>
      <c r="H38" s="117">
        <v>41</v>
      </c>
      <c r="I38" s="117">
        <v>66</v>
      </c>
      <c r="J38" s="117">
        <v>85</v>
      </c>
      <c r="K38" s="117">
        <v>90</v>
      </c>
      <c r="L38" s="117">
        <v>92</v>
      </c>
      <c r="M38" s="116">
        <v>1</v>
      </c>
      <c r="N38" s="116">
        <v>1.5</v>
      </c>
      <c r="O38" s="116">
        <v>2.1</v>
      </c>
      <c r="P38" s="116">
        <v>2.75</v>
      </c>
      <c r="Q38" s="116">
        <v>3.45</v>
      </c>
      <c r="R38" s="117">
        <v>20</v>
      </c>
      <c r="S38" s="117">
        <v>43</v>
      </c>
      <c r="T38" s="117">
        <v>70</v>
      </c>
      <c r="U38" s="117">
        <v>87</v>
      </c>
      <c r="V38" s="113">
        <v>92</v>
      </c>
    </row>
    <row r="39" spans="2:22" ht="14" x14ac:dyDescent="0.3">
      <c r="B39" s="115">
        <v>2013</v>
      </c>
      <c r="C39" s="116">
        <v>1.5</v>
      </c>
      <c r="D39" s="116">
        <v>2.1</v>
      </c>
      <c r="E39" s="116">
        <v>2.75</v>
      </c>
      <c r="F39" s="116">
        <v>3.45</v>
      </c>
      <c r="G39" s="116">
        <v>3.95</v>
      </c>
      <c r="H39" s="117">
        <v>43</v>
      </c>
      <c r="I39" s="117">
        <v>65</v>
      </c>
      <c r="J39" s="117">
        <v>83</v>
      </c>
      <c r="K39" s="117">
        <v>90</v>
      </c>
      <c r="L39" s="117">
        <v>92</v>
      </c>
      <c r="M39" s="116">
        <v>1</v>
      </c>
      <c r="N39" s="116">
        <v>1.5</v>
      </c>
      <c r="O39" s="116">
        <v>2.1</v>
      </c>
      <c r="P39" s="116">
        <v>2.75</v>
      </c>
      <c r="Q39" s="116">
        <v>3.4</v>
      </c>
      <c r="R39" s="117">
        <v>23</v>
      </c>
      <c r="S39" s="117">
        <v>45</v>
      </c>
      <c r="T39" s="117">
        <v>70</v>
      </c>
      <c r="U39" s="117">
        <v>86</v>
      </c>
      <c r="V39" s="113">
        <v>92</v>
      </c>
    </row>
    <row r="40" spans="2:22" ht="14" x14ac:dyDescent="0.3">
      <c r="B40" s="115">
        <v>2014</v>
      </c>
      <c r="C40" s="116">
        <v>1.6</v>
      </c>
      <c r="D40" s="116">
        <v>2.1</v>
      </c>
      <c r="E40" s="116">
        <v>2.75</v>
      </c>
      <c r="F40" s="116">
        <v>3.4</v>
      </c>
      <c r="G40" s="116">
        <v>3.9</v>
      </c>
      <c r="H40" s="117">
        <v>47</v>
      </c>
      <c r="I40" s="117">
        <v>69</v>
      </c>
      <c r="J40" s="117">
        <v>85</v>
      </c>
      <c r="K40" s="117">
        <v>90</v>
      </c>
      <c r="L40" s="117">
        <v>92</v>
      </c>
      <c r="M40" s="116">
        <v>1.05</v>
      </c>
      <c r="N40" s="116">
        <v>1.6</v>
      </c>
      <c r="O40" s="116">
        <v>2.2000000000000002</v>
      </c>
      <c r="P40" s="116">
        <v>2.85</v>
      </c>
      <c r="Q40" s="116">
        <v>3.5</v>
      </c>
      <c r="R40" s="117">
        <v>24</v>
      </c>
      <c r="S40" s="117">
        <v>46</v>
      </c>
      <c r="T40" s="117">
        <v>70</v>
      </c>
      <c r="U40" s="117">
        <v>85</v>
      </c>
      <c r="V40" s="113">
        <v>90</v>
      </c>
    </row>
    <row r="41" spans="2:22" ht="14" x14ac:dyDescent="0.3">
      <c r="B41" s="115">
        <v>2015</v>
      </c>
      <c r="C41" s="116">
        <v>1.73</v>
      </c>
      <c r="D41" s="116">
        <v>2.31</v>
      </c>
      <c r="E41" s="116">
        <v>2.91</v>
      </c>
      <c r="F41" s="116">
        <v>3.45</v>
      </c>
      <c r="G41" s="116">
        <v>3.85</v>
      </c>
      <c r="H41" s="117">
        <v>56.14</v>
      </c>
      <c r="I41" s="117">
        <v>72.86</v>
      </c>
      <c r="J41" s="117">
        <v>85</v>
      </c>
      <c r="K41" s="117">
        <v>90</v>
      </c>
      <c r="L41" s="117">
        <v>90</v>
      </c>
      <c r="M41" s="116">
        <v>1.06</v>
      </c>
      <c r="N41" s="116">
        <v>1.62</v>
      </c>
      <c r="O41" s="116">
        <v>2.2599999999999998</v>
      </c>
      <c r="P41" s="116">
        <v>2.9</v>
      </c>
      <c r="Q41" s="116">
        <v>3.42</v>
      </c>
      <c r="R41" s="117">
        <v>30</v>
      </c>
      <c r="S41" s="117">
        <v>47.62</v>
      </c>
      <c r="T41" s="117">
        <v>67.28</v>
      </c>
      <c r="U41" s="117">
        <v>79.849999999999994</v>
      </c>
      <c r="V41" s="113">
        <v>84.51</v>
      </c>
    </row>
    <row r="42" spans="2:22" ht="14" x14ac:dyDescent="0.3">
      <c r="B42" s="115">
        <v>2016</v>
      </c>
      <c r="C42" s="116">
        <v>1.87</v>
      </c>
      <c r="D42" s="116">
        <v>2.44</v>
      </c>
      <c r="E42" s="116">
        <v>3.01</v>
      </c>
      <c r="F42" s="116">
        <v>3.43</v>
      </c>
      <c r="G42" s="116">
        <v>3.69</v>
      </c>
      <c r="H42" s="117">
        <v>57.14</v>
      </c>
      <c r="I42" s="117">
        <v>73.790000000000006</v>
      </c>
      <c r="J42" s="117">
        <v>84.92</v>
      </c>
      <c r="K42" s="117">
        <v>89.78</v>
      </c>
      <c r="L42" s="117">
        <v>90</v>
      </c>
      <c r="M42" s="116">
        <v>1.17</v>
      </c>
      <c r="N42" s="116">
        <v>1.73</v>
      </c>
      <c r="O42" s="116">
        <v>2.37</v>
      </c>
      <c r="P42" s="116">
        <v>2.98</v>
      </c>
      <c r="Q42" s="116">
        <v>3.44</v>
      </c>
      <c r="R42" s="117">
        <v>31.56</v>
      </c>
      <c r="S42" s="117">
        <v>49.69</v>
      </c>
      <c r="T42" s="117">
        <v>69.400000000000006</v>
      </c>
      <c r="U42" s="117">
        <v>80</v>
      </c>
      <c r="V42" s="113">
        <v>81.099999999999994</v>
      </c>
    </row>
    <row r="43" spans="2:22" ht="14" x14ac:dyDescent="0.3">
      <c r="B43" s="115">
        <v>2017</v>
      </c>
      <c r="C43" s="116">
        <v>2.0299999999999998</v>
      </c>
      <c r="D43" s="116">
        <v>2.58</v>
      </c>
      <c r="E43" s="116">
        <v>3.15</v>
      </c>
      <c r="F43" s="116">
        <v>3.49</v>
      </c>
      <c r="G43" s="116">
        <v>3.91</v>
      </c>
      <c r="H43" s="117">
        <v>59.49</v>
      </c>
      <c r="I43" s="117">
        <v>75</v>
      </c>
      <c r="J43" s="117">
        <v>85.83</v>
      </c>
      <c r="K43" s="117">
        <v>90</v>
      </c>
      <c r="L43" s="117">
        <v>90</v>
      </c>
      <c r="M43" s="116">
        <v>1.29</v>
      </c>
      <c r="N43" s="116">
        <v>1.89</v>
      </c>
      <c r="O43" s="116">
        <v>2.5299999999999998</v>
      </c>
      <c r="P43" s="116">
        <v>3.12</v>
      </c>
      <c r="Q43" s="116">
        <v>3.49</v>
      </c>
      <c r="R43" s="117">
        <v>33.92</v>
      </c>
      <c r="S43" s="117">
        <v>50.78</v>
      </c>
      <c r="T43" s="117">
        <v>70</v>
      </c>
      <c r="U43" s="117">
        <v>80</v>
      </c>
      <c r="V43" s="113">
        <v>85</v>
      </c>
    </row>
    <row r="44" spans="2:22" ht="14" x14ac:dyDescent="0.3">
      <c r="B44" s="115">
        <v>2018</v>
      </c>
      <c r="C44" s="116">
        <v>2.12</v>
      </c>
      <c r="D44" s="116">
        <v>2.68</v>
      </c>
      <c r="E44" s="116">
        <v>3.22</v>
      </c>
      <c r="F44" s="116">
        <v>3.49</v>
      </c>
      <c r="G44" s="116">
        <v>3.77</v>
      </c>
      <c r="H44" s="117">
        <v>59.43</v>
      </c>
      <c r="I44" s="117">
        <v>75</v>
      </c>
      <c r="J44" s="117">
        <v>86.2</v>
      </c>
      <c r="K44" s="117">
        <v>90</v>
      </c>
      <c r="L44" s="117">
        <v>90</v>
      </c>
      <c r="M44" s="116">
        <v>1.31</v>
      </c>
      <c r="N44" s="116">
        <v>1.91</v>
      </c>
      <c r="O44" s="116">
        <v>2.5499999999999998</v>
      </c>
      <c r="P44" s="116">
        <v>3.15</v>
      </c>
      <c r="Q44" s="116">
        <v>3.48</v>
      </c>
      <c r="R44" s="117">
        <v>34.090000000000003</v>
      </c>
      <c r="S44" s="117">
        <v>50.38</v>
      </c>
      <c r="T44" s="117">
        <v>69.239999999999995</v>
      </c>
      <c r="U44" s="117">
        <v>80</v>
      </c>
      <c r="V44" s="113">
        <v>82.7</v>
      </c>
    </row>
    <row r="45" spans="2:22" ht="14" x14ac:dyDescent="0.3">
      <c r="B45" s="115">
        <v>2019</v>
      </c>
      <c r="C45" s="116">
        <v>2.17</v>
      </c>
      <c r="D45" s="116">
        <v>2.73</v>
      </c>
      <c r="E45" s="116">
        <v>3.25</v>
      </c>
      <c r="F45" s="116">
        <v>3.49</v>
      </c>
      <c r="G45" s="116">
        <v>3.74</v>
      </c>
      <c r="H45" s="117">
        <v>62.02</v>
      </c>
      <c r="I45" s="117">
        <v>76.84</v>
      </c>
      <c r="J45" s="117">
        <v>87.62</v>
      </c>
      <c r="K45" s="117">
        <v>90</v>
      </c>
      <c r="L45" s="117">
        <v>90</v>
      </c>
      <c r="M45" s="116">
        <v>1.32</v>
      </c>
      <c r="N45" s="116">
        <v>1.92</v>
      </c>
      <c r="O45" s="116">
        <v>2.57</v>
      </c>
      <c r="P45" s="116">
        <v>3.17</v>
      </c>
      <c r="Q45" s="116">
        <v>3.49</v>
      </c>
      <c r="R45" s="117">
        <v>34.950000000000003</v>
      </c>
      <c r="S45" s="117">
        <v>51.67</v>
      </c>
      <c r="T45" s="117">
        <v>70.13</v>
      </c>
      <c r="U45" s="117">
        <v>80</v>
      </c>
      <c r="V45" s="113">
        <v>84.19</v>
      </c>
    </row>
    <row r="46" spans="2:22" ht="14" x14ac:dyDescent="0.3">
      <c r="B46" s="115">
        <v>2020</v>
      </c>
      <c r="C46" s="116">
        <v>2.2400000000000002</v>
      </c>
      <c r="D46" s="116">
        <v>2.78</v>
      </c>
      <c r="E46" s="116">
        <v>3.27</v>
      </c>
      <c r="F46" s="116">
        <v>3.49</v>
      </c>
      <c r="G46" s="116">
        <v>3.5</v>
      </c>
      <c r="H46" s="117">
        <v>64.91</v>
      </c>
      <c r="I46" s="117">
        <v>77.78</v>
      </c>
      <c r="J46" s="117">
        <v>88</v>
      </c>
      <c r="K46" s="117">
        <v>90</v>
      </c>
      <c r="L46" s="117">
        <v>90</v>
      </c>
      <c r="M46" s="116">
        <v>1.37</v>
      </c>
      <c r="N46" s="116">
        <v>1.95</v>
      </c>
      <c r="O46" s="116">
        <v>2.59</v>
      </c>
      <c r="P46" s="116">
        <v>3.18</v>
      </c>
      <c r="Q46" s="116">
        <v>3.49</v>
      </c>
      <c r="R46" s="117">
        <v>35.9</v>
      </c>
      <c r="S46" s="117">
        <v>52.19</v>
      </c>
      <c r="T46" s="117">
        <v>70</v>
      </c>
      <c r="U46" s="117">
        <v>80</v>
      </c>
      <c r="V46" s="113">
        <v>80</v>
      </c>
    </row>
    <row r="47" spans="2:22" ht="14" x14ac:dyDescent="0.3">
      <c r="B47" s="115">
        <v>2021</v>
      </c>
      <c r="C47" s="116">
        <v>2.33</v>
      </c>
      <c r="D47" s="116">
        <v>2.87</v>
      </c>
      <c r="E47" s="116">
        <v>3.34</v>
      </c>
      <c r="F47" s="116">
        <v>3.5</v>
      </c>
      <c r="G47" s="116">
        <v>3.63</v>
      </c>
      <c r="H47" s="117">
        <v>62.06</v>
      </c>
      <c r="I47" s="117">
        <v>75.56</v>
      </c>
      <c r="J47" s="117">
        <v>85.62</v>
      </c>
      <c r="K47" s="117">
        <v>90</v>
      </c>
      <c r="L47" s="117">
        <v>90</v>
      </c>
      <c r="M47" s="116">
        <v>1.43</v>
      </c>
      <c r="N47" s="116">
        <v>2.0099999999999998</v>
      </c>
      <c r="O47" s="116">
        <v>2.66</v>
      </c>
      <c r="P47" s="116">
        <v>3.24</v>
      </c>
      <c r="Q47" s="116">
        <v>3.49</v>
      </c>
      <c r="R47" s="117">
        <v>35.69</v>
      </c>
      <c r="S47" s="117">
        <v>50.85</v>
      </c>
      <c r="T47" s="117">
        <v>68.14</v>
      </c>
      <c r="U47" s="117">
        <v>79.48</v>
      </c>
      <c r="V47" s="113">
        <v>80</v>
      </c>
    </row>
    <row r="48" spans="2:22" ht="14" x14ac:dyDescent="0.3">
      <c r="B48" s="115">
        <v>2022</v>
      </c>
      <c r="C48" s="116">
        <v>2.39</v>
      </c>
      <c r="D48" s="116">
        <v>2.92</v>
      </c>
      <c r="E48" s="116">
        <v>3.36</v>
      </c>
      <c r="F48" s="116">
        <v>3.5</v>
      </c>
      <c r="G48" s="116">
        <v>3.8</v>
      </c>
      <c r="H48" s="117">
        <v>61.2</v>
      </c>
      <c r="I48" s="117">
        <v>75</v>
      </c>
      <c r="J48" s="117">
        <v>85.57</v>
      </c>
      <c r="K48" s="117">
        <v>90</v>
      </c>
      <c r="L48" s="117">
        <v>90</v>
      </c>
      <c r="M48" s="116">
        <v>1.52</v>
      </c>
      <c r="N48" s="116">
        <v>2.14</v>
      </c>
      <c r="O48" s="116">
        <v>2.82</v>
      </c>
      <c r="P48" s="116">
        <v>3.34</v>
      </c>
      <c r="Q48" s="116">
        <v>3.5</v>
      </c>
      <c r="R48" s="117">
        <v>35.840000000000003</v>
      </c>
      <c r="S48" s="117">
        <v>51.09</v>
      </c>
      <c r="T48" s="117">
        <v>68.180000000000007</v>
      </c>
      <c r="U48" s="117">
        <v>79.900000000000006</v>
      </c>
      <c r="V48" s="113">
        <v>80</v>
      </c>
    </row>
    <row r="49" spans="2:22" ht="14" x14ac:dyDescent="0.3">
      <c r="B49" s="115">
        <v>2023</v>
      </c>
      <c r="C49" s="116">
        <v>2.38</v>
      </c>
      <c r="D49" s="116">
        <v>2.95</v>
      </c>
      <c r="E49" s="116">
        <v>3.44</v>
      </c>
      <c r="F49" s="116">
        <v>3.83</v>
      </c>
      <c r="G49" s="116">
        <v>4</v>
      </c>
      <c r="H49" s="117">
        <v>60.33</v>
      </c>
      <c r="I49" s="117">
        <v>74.349999999999994</v>
      </c>
      <c r="J49" s="117">
        <v>85.87</v>
      </c>
      <c r="K49" s="117">
        <v>90</v>
      </c>
      <c r="L49" s="117">
        <v>90</v>
      </c>
      <c r="M49" s="116">
        <v>1.52</v>
      </c>
      <c r="N49" s="116">
        <v>2.12</v>
      </c>
      <c r="O49" s="116">
        <v>2.78</v>
      </c>
      <c r="P49" s="116">
        <v>3.33</v>
      </c>
      <c r="Q49" s="116">
        <v>3.5</v>
      </c>
      <c r="R49" s="117">
        <v>35.56</v>
      </c>
      <c r="S49" s="117">
        <v>50.63</v>
      </c>
      <c r="T49" s="117">
        <v>67.56</v>
      </c>
      <c r="U49" s="117">
        <v>80</v>
      </c>
      <c r="V49" s="113">
        <v>89.86</v>
      </c>
    </row>
    <row r="50" spans="2:22" ht="14" x14ac:dyDescent="0.3">
      <c r="B50" s="115">
        <v>2024</v>
      </c>
      <c r="C50" s="116">
        <v>2.41</v>
      </c>
      <c r="D50" s="116">
        <v>2.98</v>
      </c>
      <c r="E50" s="116">
        <v>3.53</v>
      </c>
      <c r="F50" s="116">
        <v>3.94</v>
      </c>
      <c r="G50" s="116">
        <v>4</v>
      </c>
      <c r="H50" s="117">
        <v>59.1</v>
      </c>
      <c r="I50" s="117">
        <v>72.73</v>
      </c>
      <c r="J50" s="117">
        <v>84.87</v>
      </c>
      <c r="K50" s="117">
        <v>90</v>
      </c>
      <c r="L50" s="117">
        <v>90</v>
      </c>
      <c r="M50" s="116">
        <v>1.49</v>
      </c>
      <c r="N50" s="116">
        <v>2.1</v>
      </c>
      <c r="O50" s="116">
        <v>2.77</v>
      </c>
      <c r="P50" s="116">
        <v>3.33</v>
      </c>
      <c r="Q50" s="116">
        <v>3.5</v>
      </c>
      <c r="R50" s="117">
        <v>34.380000000000003</v>
      </c>
      <c r="S50" s="117">
        <v>49.37</v>
      </c>
      <c r="T50" s="117">
        <v>66.599999999999994</v>
      </c>
      <c r="U50" s="117">
        <v>80</v>
      </c>
      <c r="V50" s="113">
        <v>90</v>
      </c>
    </row>
    <row r="51" spans="2:22" ht="14.5" thickBot="1" x14ac:dyDescent="0.35">
      <c r="B51" s="118">
        <v>2025</v>
      </c>
      <c r="C51" s="130">
        <v>2.48</v>
      </c>
      <c r="D51" s="130">
        <v>3.09</v>
      </c>
      <c r="E51" s="130">
        <v>3.65</v>
      </c>
      <c r="F51" s="130">
        <v>3.99</v>
      </c>
      <c r="G51" s="130">
        <v>4</v>
      </c>
      <c r="H51" s="119">
        <v>58.13</v>
      </c>
      <c r="I51" s="119">
        <v>73.03</v>
      </c>
      <c r="J51" s="119">
        <v>85</v>
      </c>
      <c r="K51" s="119">
        <v>90</v>
      </c>
      <c r="L51" s="119">
        <v>90</v>
      </c>
      <c r="M51" s="130">
        <v>1.49</v>
      </c>
      <c r="N51" s="130">
        <v>2.12</v>
      </c>
      <c r="O51" s="130">
        <v>2.79</v>
      </c>
      <c r="P51" s="130">
        <v>3.35</v>
      </c>
      <c r="Q51" s="130">
        <v>3.5</v>
      </c>
      <c r="R51" s="119">
        <v>33.33</v>
      </c>
      <c r="S51" s="119">
        <v>48.26</v>
      </c>
      <c r="T51" s="119">
        <v>65.22</v>
      </c>
      <c r="U51" s="119">
        <v>80.06</v>
      </c>
      <c r="V51" s="120">
        <v>90</v>
      </c>
    </row>
    <row r="52" spans="2:22" x14ac:dyDescent="0.25">
      <c r="C52" s="105" t="s">
        <v>165</v>
      </c>
    </row>
    <row r="53" spans="2:22" x14ac:dyDescent="0.25">
      <c r="C53" s="105" t="s">
        <v>161</v>
      </c>
      <c r="D53" s="49"/>
      <c r="E53" s="49"/>
      <c r="F53" s="49"/>
      <c r="G53" s="49"/>
      <c r="H53" s="49"/>
      <c r="I53" s="49"/>
      <c r="J53" s="49"/>
      <c r="K53" s="49"/>
      <c r="L53" s="49"/>
      <c r="M53" s="49"/>
      <c r="N53" s="49"/>
      <c r="O53" s="49"/>
      <c r="P53" s="49"/>
      <c r="Q53" s="49"/>
      <c r="R53" s="49"/>
      <c r="S53" s="49"/>
      <c r="T53" s="49"/>
      <c r="U53" s="49"/>
      <c r="V53" s="49"/>
    </row>
    <row r="54" spans="2:22" x14ac:dyDescent="0.25">
      <c r="C54" s="49"/>
      <c r="D54" s="49"/>
      <c r="E54" s="49"/>
      <c r="F54" s="49"/>
      <c r="G54" s="49"/>
      <c r="H54" s="49"/>
      <c r="I54" s="49"/>
      <c r="J54" s="49"/>
      <c r="K54" s="49"/>
      <c r="L54" s="49"/>
      <c r="M54" s="49"/>
      <c r="N54" s="49"/>
      <c r="O54" s="49"/>
      <c r="P54" s="49"/>
      <c r="Q54" s="49"/>
      <c r="R54" s="49"/>
      <c r="S54" s="49"/>
      <c r="T54" s="49"/>
      <c r="U54" s="49"/>
      <c r="V54" s="49"/>
    </row>
    <row r="55" spans="2:22" x14ac:dyDescent="0.25">
      <c r="C55" s="49"/>
      <c r="D55" s="49"/>
      <c r="E55" s="49"/>
      <c r="F55" s="49"/>
      <c r="G55" s="49"/>
      <c r="H55" s="49"/>
      <c r="I55" s="49"/>
      <c r="J55" s="49"/>
      <c r="K55" s="49"/>
      <c r="L55" s="49"/>
      <c r="M55" s="49"/>
      <c r="N55" s="49"/>
      <c r="O55" s="49"/>
      <c r="P55" s="49"/>
      <c r="Q55" s="49"/>
      <c r="R55" s="49"/>
      <c r="S55" s="49"/>
      <c r="T55" s="49"/>
      <c r="U55" s="49"/>
      <c r="V55" s="49"/>
    </row>
    <row r="56" spans="2:22" x14ac:dyDescent="0.25">
      <c r="C56" s="49"/>
      <c r="D56" s="49"/>
      <c r="E56" s="49"/>
      <c r="F56" s="49"/>
      <c r="G56" s="49"/>
      <c r="H56" s="49"/>
      <c r="I56" s="49"/>
      <c r="J56" s="49"/>
      <c r="K56" s="49"/>
      <c r="L56" s="49"/>
      <c r="M56" s="49"/>
      <c r="N56" s="49"/>
      <c r="O56" s="49"/>
      <c r="P56" s="49"/>
      <c r="Q56" s="49"/>
      <c r="R56" s="49"/>
      <c r="S56" s="49"/>
      <c r="T56" s="49"/>
      <c r="U56" s="49"/>
      <c r="V56" s="49"/>
    </row>
    <row r="57" spans="2:22" x14ac:dyDescent="0.25">
      <c r="C57" s="49"/>
      <c r="D57" s="49"/>
      <c r="E57" s="49"/>
      <c r="F57" s="49"/>
      <c r="G57" s="49"/>
      <c r="H57" s="49"/>
      <c r="I57" s="49"/>
      <c r="J57" s="49"/>
      <c r="K57" s="49"/>
      <c r="L57" s="49"/>
      <c r="M57" s="49"/>
      <c r="N57" s="49"/>
      <c r="O57" s="49"/>
      <c r="P57" s="49"/>
      <c r="Q57" s="49"/>
      <c r="R57" s="49"/>
      <c r="S57" s="49"/>
      <c r="T57" s="49"/>
      <c r="U57" s="49"/>
      <c r="V57" s="49"/>
    </row>
    <row r="58" spans="2:22" x14ac:dyDescent="0.25">
      <c r="C58" s="49"/>
      <c r="D58" s="49"/>
      <c r="E58" s="49"/>
      <c r="F58" s="49"/>
      <c r="G58" s="49"/>
      <c r="H58" s="49"/>
      <c r="I58" s="49"/>
      <c r="J58" s="49"/>
      <c r="K58" s="49"/>
      <c r="L58" s="49"/>
      <c r="M58" s="49"/>
      <c r="N58" s="49"/>
      <c r="O58" s="49"/>
      <c r="P58" s="49"/>
      <c r="Q58" s="49"/>
      <c r="R58" s="49"/>
      <c r="S58" s="49"/>
      <c r="T58" s="49"/>
      <c r="U58" s="49"/>
      <c r="V58" s="49"/>
    </row>
    <row r="59" spans="2:22" x14ac:dyDescent="0.25">
      <c r="C59" s="49"/>
      <c r="D59" s="49"/>
      <c r="E59" s="49"/>
      <c r="F59" s="49"/>
      <c r="G59" s="49"/>
      <c r="H59" s="49"/>
      <c r="I59" s="49"/>
      <c r="J59" s="49"/>
      <c r="K59" s="49"/>
      <c r="L59" s="49"/>
      <c r="M59" s="49"/>
      <c r="N59" s="49"/>
      <c r="O59" s="49"/>
      <c r="P59" s="49"/>
      <c r="Q59" s="49"/>
      <c r="R59" s="49"/>
      <c r="S59" s="49"/>
      <c r="T59" s="49"/>
      <c r="U59" s="49"/>
      <c r="V59" s="49"/>
    </row>
    <row r="60" spans="2:22" x14ac:dyDescent="0.25">
      <c r="C60" s="49"/>
      <c r="D60" s="49"/>
      <c r="E60" s="49"/>
      <c r="F60" s="49"/>
      <c r="G60" s="49"/>
      <c r="H60" s="49"/>
      <c r="I60" s="49"/>
      <c r="J60" s="49"/>
      <c r="K60" s="49"/>
      <c r="L60" s="49"/>
      <c r="M60" s="49"/>
      <c r="N60" s="49"/>
      <c r="O60" s="49"/>
      <c r="P60" s="49"/>
      <c r="Q60" s="49"/>
      <c r="R60" s="49"/>
      <c r="S60" s="49"/>
      <c r="T60" s="49"/>
      <c r="U60" s="49"/>
      <c r="V60" s="49"/>
    </row>
    <row r="61" spans="2:22" x14ac:dyDescent="0.25">
      <c r="C61" s="49"/>
      <c r="D61" s="49"/>
      <c r="E61" s="49"/>
      <c r="F61" s="49"/>
      <c r="G61" s="49"/>
      <c r="H61" s="49"/>
      <c r="I61" s="49"/>
      <c r="J61" s="49"/>
      <c r="K61" s="49"/>
      <c r="L61" s="49"/>
      <c r="M61" s="49"/>
      <c r="N61" s="49"/>
      <c r="O61" s="49"/>
      <c r="P61" s="49"/>
      <c r="Q61" s="49"/>
      <c r="R61" s="49"/>
      <c r="S61" s="49"/>
      <c r="T61" s="49"/>
      <c r="U61" s="49"/>
      <c r="V61" s="49"/>
    </row>
    <row r="62" spans="2:22" x14ac:dyDescent="0.25">
      <c r="C62" s="49"/>
      <c r="D62" s="49"/>
      <c r="E62" s="49"/>
      <c r="F62" s="49"/>
      <c r="G62" s="49"/>
      <c r="H62" s="49"/>
      <c r="I62" s="49"/>
      <c r="J62" s="49"/>
      <c r="K62" s="49"/>
      <c r="L62" s="49"/>
      <c r="M62" s="49"/>
      <c r="N62" s="49"/>
      <c r="O62" s="49"/>
      <c r="P62" s="49"/>
      <c r="Q62" s="49"/>
      <c r="R62" s="49"/>
      <c r="S62" s="49"/>
      <c r="T62" s="49"/>
      <c r="U62" s="49"/>
      <c r="V62" s="49"/>
    </row>
    <row r="63" spans="2:22" x14ac:dyDescent="0.25">
      <c r="C63" s="49"/>
      <c r="D63" s="49"/>
      <c r="E63" s="49"/>
      <c r="F63" s="49"/>
      <c r="G63" s="49"/>
      <c r="H63" s="49"/>
      <c r="I63" s="49"/>
      <c r="J63" s="49"/>
      <c r="K63" s="49"/>
      <c r="L63" s="49"/>
      <c r="M63" s="49"/>
      <c r="N63" s="49"/>
      <c r="O63" s="49"/>
      <c r="P63" s="49"/>
      <c r="Q63" s="49"/>
      <c r="R63" s="49"/>
      <c r="S63" s="49"/>
      <c r="T63" s="49"/>
      <c r="U63" s="49"/>
      <c r="V63" s="49"/>
    </row>
    <row r="64" spans="2:22" x14ac:dyDescent="0.25">
      <c r="C64" s="49"/>
      <c r="D64" s="49"/>
      <c r="E64" s="49"/>
      <c r="F64" s="49"/>
      <c r="G64" s="49"/>
      <c r="H64" s="49"/>
      <c r="I64" s="49"/>
      <c r="J64" s="49"/>
      <c r="K64" s="49"/>
      <c r="L64" s="49"/>
      <c r="M64" s="49"/>
      <c r="N64" s="49"/>
      <c r="O64" s="49"/>
      <c r="P64" s="49"/>
      <c r="Q64" s="49"/>
      <c r="R64" s="49"/>
      <c r="S64" s="49"/>
      <c r="T64" s="49"/>
      <c r="U64" s="49"/>
      <c r="V64" s="49"/>
    </row>
    <row r="65" spans="3:22" x14ac:dyDescent="0.25">
      <c r="C65" s="49"/>
      <c r="D65" s="49"/>
      <c r="E65" s="49"/>
      <c r="F65" s="49"/>
      <c r="G65" s="49"/>
      <c r="H65" s="49"/>
      <c r="I65" s="49"/>
      <c r="J65" s="49"/>
      <c r="K65" s="49"/>
      <c r="L65" s="49"/>
      <c r="M65" s="49"/>
      <c r="N65" s="49"/>
      <c r="O65" s="49"/>
      <c r="P65" s="49"/>
      <c r="Q65" s="49"/>
      <c r="R65" s="49"/>
      <c r="S65" s="49"/>
      <c r="T65" s="49"/>
      <c r="U65" s="49"/>
      <c r="V65" s="49"/>
    </row>
    <row r="66" spans="3:22" x14ac:dyDescent="0.25">
      <c r="C66" s="49"/>
      <c r="D66" s="49"/>
      <c r="E66" s="49"/>
      <c r="F66" s="49"/>
      <c r="G66" s="49"/>
      <c r="H66" s="49"/>
      <c r="I66" s="49"/>
      <c r="J66" s="49"/>
      <c r="K66" s="49"/>
      <c r="L66" s="49"/>
      <c r="M66" s="49"/>
      <c r="N66" s="49"/>
      <c r="O66" s="49"/>
      <c r="P66" s="49"/>
      <c r="Q66" s="49"/>
      <c r="R66" s="49"/>
      <c r="S66" s="49"/>
      <c r="T66" s="49"/>
      <c r="U66" s="49"/>
      <c r="V66" s="49"/>
    </row>
    <row r="67" spans="3:22" x14ac:dyDescent="0.25">
      <c r="C67" s="49"/>
      <c r="D67" s="49"/>
      <c r="E67" s="49"/>
      <c r="F67" s="49"/>
      <c r="G67" s="49"/>
      <c r="H67" s="49"/>
      <c r="I67" s="49"/>
      <c r="J67" s="49"/>
      <c r="K67" s="49"/>
      <c r="L67" s="49"/>
      <c r="M67" s="49"/>
      <c r="N67" s="49"/>
      <c r="O67" s="49"/>
      <c r="P67" s="49"/>
      <c r="Q67" s="49"/>
      <c r="R67" s="49"/>
      <c r="S67" s="49"/>
      <c r="T67" s="49"/>
      <c r="U67" s="49"/>
      <c r="V67" s="49"/>
    </row>
    <row r="68" spans="3:22" x14ac:dyDescent="0.25">
      <c r="C68" s="49"/>
      <c r="D68" s="49"/>
      <c r="E68" s="49"/>
      <c r="F68" s="49"/>
      <c r="G68" s="49"/>
      <c r="H68" s="49"/>
      <c r="I68" s="49"/>
      <c r="J68" s="49"/>
      <c r="K68" s="49"/>
      <c r="L68" s="49"/>
      <c r="M68" s="49"/>
      <c r="N68" s="49"/>
      <c r="O68" s="49"/>
      <c r="P68" s="49"/>
      <c r="Q68" s="49"/>
      <c r="R68" s="49"/>
      <c r="S68" s="49"/>
      <c r="T68" s="49"/>
      <c r="U68" s="49"/>
      <c r="V68" s="49"/>
    </row>
    <row r="69" spans="3:22" x14ac:dyDescent="0.25">
      <c r="C69" s="49"/>
      <c r="D69" s="49"/>
      <c r="E69" s="49"/>
      <c r="F69" s="49"/>
      <c r="G69" s="49"/>
      <c r="H69" s="49"/>
      <c r="I69" s="49"/>
      <c r="J69" s="49"/>
      <c r="K69" s="49"/>
      <c r="L69" s="49"/>
      <c r="M69" s="49"/>
      <c r="N69" s="49"/>
      <c r="O69" s="49"/>
      <c r="P69" s="49"/>
      <c r="Q69" s="49"/>
      <c r="R69" s="49"/>
      <c r="S69" s="49"/>
      <c r="T69" s="49"/>
      <c r="U69" s="49"/>
      <c r="V69" s="49"/>
    </row>
    <row r="70" spans="3:22" x14ac:dyDescent="0.25">
      <c r="C70" s="49"/>
      <c r="D70" s="49"/>
      <c r="E70" s="49"/>
      <c r="F70" s="49"/>
      <c r="G70" s="49"/>
      <c r="H70" s="49"/>
      <c r="I70" s="49"/>
      <c r="J70" s="49"/>
      <c r="K70" s="49"/>
      <c r="L70" s="49"/>
      <c r="M70" s="49"/>
      <c r="N70" s="49"/>
      <c r="O70" s="49"/>
      <c r="P70" s="49"/>
      <c r="Q70" s="49"/>
      <c r="R70" s="49"/>
      <c r="S70" s="49"/>
      <c r="T70" s="49"/>
      <c r="U70" s="49"/>
      <c r="V70" s="49"/>
    </row>
    <row r="71" spans="3:22" x14ac:dyDescent="0.25">
      <c r="C71" s="49"/>
      <c r="D71" s="49"/>
      <c r="E71" s="49"/>
      <c r="F71" s="49"/>
      <c r="G71" s="49"/>
      <c r="H71" s="49"/>
      <c r="I71" s="49"/>
      <c r="J71" s="49"/>
      <c r="K71" s="49"/>
      <c r="L71" s="49"/>
      <c r="M71" s="49"/>
      <c r="N71" s="49"/>
      <c r="O71" s="49"/>
      <c r="P71" s="49"/>
      <c r="Q71" s="49"/>
      <c r="R71" s="49"/>
      <c r="S71" s="49"/>
      <c r="T71" s="49"/>
      <c r="U71" s="49"/>
      <c r="V71" s="49"/>
    </row>
    <row r="72" spans="3:22" x14ac:dyDescent="0.25">
      <c r="C72" s="49"/>
      <c r="D72" s="49"/>
      <c r="E72" s="49"/>
      <c r="F72" s="49"/>
      <c r="G72" s="49"/>
      <c r="H72" s="49"/>
      <c r="I72" s="49"/>
      <c r="J72" s="49"/>
      <c r="K72" s="49"/>
      <c r="L72" s="49"/>
      <c r="M72" s="49"/>
      <c r="N72" s="49"/>
      <c r="O72" s="49"/>
      <c r="P72" s="49"/>
      <c r="Q72" s="49"/>
      <c r="R72" s="49"/>
      <c r="S72" s="49"/>
      <c r="T72" s="49"/>
      <c r="U72" s="49"/>
      <c r="V72" s="49"/>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8">
    <mergeCell ref="I2:N2"/>
    <mergeCell ref="P2:U2"/>
    <mergeCell ref="W2:AB2"/>
    <mergeCell ref="R30:V30"/>
    <mergeCell ref="C30:G30"/>
    <mergeCell ref="M30:Q30"/>
    <mergeCell ref="H30:L30"/>
    <mergeCell ref="B2:G2"/>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theme="5"/>
    <pageSetUpPr autoPageBreaks="0"/>
  </sheetPr>
  <dimension ref="A1:Q25"/>
  <sheetViews>
    <sheetView zoomScaleNormal="100" workbookViewId="0"/>
  </sheetViews>
  <sheetFormatPr defaultColWidth="9.07421875" defaultRowHeight="11.5" x14ac:dyDescent="0.25"/>
  <cols>
    <col min="1" max="16384" width="9.07421875" style="46"/>
  </cols>
  <sheetData>
    <row r="1" spans="1:17" x14ac:dyDescent="0.25">
      <c r="A1" s="53"/>
    </row>
    <row r="2" spans="1:17" ht="12" thickBot="1" x14ac:dyDescent="0.3"/>
    <row r="3" spans="1:17" ht="14.5" thickBot="1" x14ac:dyDescent="0.35">
      <c r="B3" s="161" t="s">
        <v>209</v>
      </c>
      <c r="C3" s="162"/>
      <c r="D3" s="162"/>
      <c r="E3" s="162"/>
      <c r="F3" s="162"/>
      <c r="G3" s="162"/>
      <c r="H3" s="162"/>
      <c r="I3" s="162"/>
      <c r="J3" s="162"/>
      <c r="K3" s="162"/>
      <c r="L3" s="162"/>
      <c r="M3" s="162"/>
      <c r="N3" s="162"/>
      <c r="O3" s="162"/>
      <c r="P3" s="162"/>
      <c r="Q3" s="163"/>
    </row>
    <row r="4" spans="1:17" ht="14.5" thickBot="1" x14ac:dyDescent="0.35">
      <c r="B4" s="161" t="s">
        <v>46</v>
      </c>
      <c r="C4" s="162"/>
      <c r="D4" s="162"/>
      <c r="E4" s="162"/>
      <c r="F4" s="162"/>
      <c r="G4" s="162"/>
      <c r="H4" s="162"/>
      <c r="I4" s="163"/>
      <c r="J4" s="161" t="s">
        <v>47</v>
      </c>
      <c r="K4" s="162"/>
      <c r="L4" s="162"/>
      <c r="M4" s="162"/>
      <c r="N4" s="162"/>
      <c r="O4" s="162"/>
      <c r="P4" s="162"/>
      <c r="Q4" s="163"/>
    </row>
    <row r="5" spans="1:17" ht="14" x14ac:dyDescent="0.3">
      <c r="B5" s="9"/>
      <c r="C5" s="10"/>
      <c r="D5" s="10"/>
      <c r="E5" s="10"/>
      <c r="F5" s="10"/>
      <c r="G5" s="10"/>
      <c r="H5" s="10"/>
      <c r="I5" s="14"/>
      <c r="J5" s="9"/>
      <c r="K5" s="10"/>
      <c r="L5" s="10"/>
      <c r="M5" s="10"/>
      <c r="N5" s="10"/>
      <c r="O5" s="10"/>
      <c r="P5" s="10"/>
      <c r="Q5" s="14"/>
    </row>
    <row r="6" spans="1:17" ht="14" x14ac:dyDescent="0.3">
      <c r="B6" s="4"/>
      <c r="C6" s="5"/>
      <c r="D6" s="5"/>
      <c r="E6" s="5"/>
      <c r="F6" s="5"/>
      <c r="G6" s="5"/>
      <c r="H6" s="5"/>
      <c r="I6" s="6"/>
      <c r="J6" s="4"/>
      <c r="K6" s="5"/>
      <c r="L6" s="5"/>
      <c r="M6" s="5"/>
      <c r="N6" s="5"/>
      <c r="O6" s="5"/>
      <c r="P6" s="5"/>
      <c r="Q6" s="6"/>
    </row>
    <row r="7" spans="1:17" ht="14" x14ac:dyDescent="0.3">
      <c r="B7" s="4"/>
      <c r="C7" s="5"/>
      <c r="D7" s="5"/>
      <c r="E7" s="5"/>
      <c r="F7" s="5"/>
      <c r="G7" s="5"/>
      <c r="H7" s="5"/>
      <c r="I7" s="6"/>
      <c r="J7" s="4"/>
      <c r="K7" s="5"/>
      <c r="L7" s="5"/>
      <c r="M7" s="5"/>
      <c r="N7" s="5"/>
      <c r="O7" s="5"/>
      <c r="P7" s="5"/>
      <c r="Q7" s="6"/>
    </row>
    <row r="8" spans="1:17" ht="14" x14ac:dyDescent="0.3">
      <c r="B8" s="4"/>
      <c r="C8" s="5"/>
      <c r="D8" s="5"/>
      <c r="E8" s="5"/>
      <c r="F8" s="5"/>
      <c r="G8" s="5"/>
      <c r="H8" s="5"/>
      <c r="I8" s="6"/>
      <c r="J8" s="4"/>
      <c r="K8" s="5"/>
      <c r="L8" s="5"/>
      <c r="M8" s="5"/>
      <c r="N8" s="5"/>
      <c r="O8" s="5"/>
      <c r="P8" s="5"/>
      <c r="Q8" s="6"/>
    </row>
    <row r="9" spans="1:17" ht="14" x14ac:dyDescent="0.3">
      <c r="B9" s="4"/>
      <c r="C9" s="5"/>
      <c r="D9" s="5"/>
      <c r="E9" s="5"/>
      <c r="F9" s="5"/>
      <c r="G9" s="5"/>
      <c r="H9" s="5"/>
      <c r="I9" s="6"/>
      <c r="J9" s="4"/>
      <c r="K9" s="5"/>
      <c r="L9" s="5"/>
      <c r="M9" s="5"/>
      <c r="N9" s="5"/>
      <c r="O9" s="5"/>
      <c r="P9" s="5"/>
      <c r="Q9" s="6"/>
    </row>
    <row r="10" spans="1:17" ht="14" x14ac:dyDescent="0.3">
      <c r="B10" s="4"/>
      <c r="C10" s="5"/>
      <c r="D10" s="5"/>
      <c r="E10" s="5"/>
      <c r="F10" s="5"/>
      <c r="G10" s="5"/>
      <c r="H10" s="5"/>
      <c r="I10" s="6"/>
      <c r="J10" s="4"/>
      <c r="K10" s="5"/>
      <c r="L10" s="5"/>
      <c r="M10" s="5"/>
      <c r="N10" s="5"/>
      <c r="O10" s="5"/>
      <c r="P10" s="5"/>
      <c r="Q10" s="6"/>
    </row>
    <row r="11" spans="1:17" ht="14" x14ac:dyDescent="0.3">
      <c r="B11" s="4"/>
      <c r="C11" s="5"/>
      <c r="D11" s="5"/>
      <c r="E11" s="5"/>
      <c r="F11" s="5"/>
      <c r="G11" s="5"/>
      <c r="H11" s="5"/>
      <c r="I11" s="6"/>
      <c r="J11" s="4"/>
      <c r="K11" s="5"/>
      <c r="L11" s="5"/>
      <c r="M11" s="5"/>
      <c r="N11" s="5"/>
      <c r="O11" s="5"/>
      <c r="P11" s="5"/>
      <c r="Q11" s="6"/>
    </row>
    <row r="12" spans="1:17" ht="14" x14ac:dyDescent="0.3">
      <c r="B12" s="4"/>
      <c r="C12" s="5"/>
      <c r="D12" s="5"/>
      <c r="E12" s="5"/>
      <c r="F12" s="5"/>
      <c r="G12" s="5"/>
      <c r="H12" s="5"/>
      <c r="I12" s="6"/>
      <c r="J12" s="4"/>
      <c r="K12" s="5"/>
      <c r="L12" s="5"/>
      <c r="M12" s="5"/>
      <c r="N12" s="5"/>
      <c r="O12" s="5"/>
      <c r="P12" s="5"/>
      <c r="Q12" s="6"/>
    </row>
    <row r="13" spans="1:17" ht="14" x14ac:dyDescent="0.3">
      <c r="B13" s="4"/>
      <c r="C13" s="5"/>
      <c r="D13" s="5"/>
      <c r="E13" s="5"/>
      <c r="F13" s="5"/>
      <c r="G13" s="5"/>
      <c r="H13" s="5"/>
      <c r="I13" s="6"/>
      <c r="J13" s="4"/>
      <c r="K13" s="5"/>
      <c r="L13" s="5"/>
      <c r="M13" s="5"/>
      <c r="N13" s="5"/>
      <c r="O13" s="5"/>
      <c r="P13" s="5"/>
      <c r="Q13" s="6"/>
    </row>
    <row r="14" spans="1:17" ht="14" x14ac:dyDescent="0.3">
      <c r="B14" s="4"/>
      <c r="C14" s="5"/>
      <c r="D14" s="5"/>
      <c r="E14" s="5"/>
      <c r="F14" s="5"/>
      <c r="G14" s="5"/>
      <c r="H14" s="5"/>
      <c r="I14" s="6"/>
      <c r="J14" s="4"/>
      <c r="K14" s="5"/>
      <c r="L14" s="5"/>
      <c r="M14" s="5"/>
      <c r="N14" s="5"/>
      <c r="O14" s="5"/>
      <c r="P14" s="5"/>
      <c r="Q14" s="6"/>
    </row>
    <row r="15" spans="1:17" ht="14" x14ac:dyDescent="0.3">
      <c r="B15" s="4"/>
      <c r="C15" s="5"/>
      <c r="D15" s="5"/>
      <c r="E15" s="5"/>
      <c r="F15" s="5"/>
      <c r="G15" s="5"/>
      <c r="H15" s="5"/>
      <c r="I15" s="6"/>
      <c r="J15" s="4"/>
      <c r="K15" s="5"/>
      <c r="L15" s="5"/>
      <c r="M15" s="5"/>
      <c r="N15" s="5"/>
      <c r="O15" s="5"/>
      <c r="P15" s="5"/>
      <c r="Q15" s="6"/>
    </row>
    <row r="16" spans="1:17" ht="14" x14ac:dyDescent="0.3">
      <c r="B16" s="4"/>
      <c r="C16" s="5"/>
      <c r="D16" s="5"/>
      <c r="E16" s="5"/>
      <c r="F16" s="5"/>
      <c r="G16" s="5"/>
      <c r="H16" s="5"/>
      <c r="I16" s="6"/>
      <c r="J16" s="4"/>
      <c r="K16" s="5"/>
      <c r="L16" s="5"/>
      <c r="M16" s="5"/>
      <c r="N16" s="5"/>
      <c r="O16" s="5"/>
      <c r="P16" s="5"/>
      <c r="Q16" s="6"/>
    </row>
    <row r="17" spans="2:17" ht="14" x14ac:dyDescent="0.3">
      <c r="B17" s="4"/>
      <c r="C17" s="5"/>
      <c r="D17" s="5"/>
      <c r="E17" s="5"/>
      <c r="F17" s="5"/>
      <c r="G17" s="5"/>
      <c r="H17" s="5"/>
      <c r="I17" s="6"/>
      <c r="J17" s="4"/>
      <c r="K17" s="5"/>
      <c r="L17" s="5"/>
      <c r="M17" s="5"/>
      <c r="N17" s="5"/>
      <c r="O17" s="5"/>
      <c r="P17" s="5"/>
      <c r="Q17" s="6"/>
    </row>
    <row r="18" spans="2:17" ht="14" x14ac:dyDescent="0.3">
      <c r="B18" s="4"/>
      <c r="C18" s="5"/>
      <c r="D18" s="5"/>
      <c r="E18" s="5"/>
      <c r="F18" s="5"/>
      <c r="G18" s="5"/>
      <c r="H18" s="5"/>
      <c r="I18" s="6"/>
      <c r="J18" s="4"/>
      <c r="K18" s="5"/>
      <c r="L18" s="5"/>
      <c r="M18" s="5"/>
      <c r="N18" s="5"/>
      <c r="O18" s="5"/>
      <c r="P18" s="5"/>
      <c r="Q18" s="6"/>
    </row>
    <row r="19" spans="2:17" ht="14" x14ac:dyDescent="0.3">
      <c r="B19" s="4"/>
      <c r="C19" s="5"/>
      <c r="D19" s="5"/>
      <c r="E19" s="5"/>
      <c r="F19" s="5"/>
      <c r="G19" s="5"/>
      <c r="H19" s="5"/>
      <c r="I19" s="6"/>
      <c r="J19" s="4"/>
      <c r="K19" s="5"/>
      <c r="L19" s="5"/>
      <c r="M19" s="5"/>
      <c r="N19" s="5"/>
      <c r="O19" s="5"/>
      <c r="P19" s="5"/>
      <c r="Q19" s="6"/>
    </row>
    <row r="20" spans="2:17" ht="14" x14ac:dyDescent="0.3">
      <c r="B20" s="4"/>
      <c r="C20" s="5"/>
      <c r="D20" s="5"/>
      <c r="E20" s="5"/>
      <c r="F20" s="5"/>
      <c r="G20" s="5"/>
      <c r="H20" s="5"/>
      <c r="I20" s="6"/>
      <c r="J20" s="4"/>
      <c r="K20" s="5"/>
      <c r="L20" s="5"/>
      <c r="M20" s="5"/>
      <c r="N20" s="5"/>
      <c r="O20" s="5"/>
      <c r="P20" s="5"/>
      <c r="Q20" s="6"/>
    </row>
    <row r="21" spans="2:17" ht="14" x14ac:dyDescent="0.3">
      <c r="B21" s="4"/>
      <c r="C21" s="5"/>
      <c r="D21" s="5"/>
      <c r="E21" s="5"/>
      <c r="F21" s="5"/>
      <c r="G21" s="5"/>
      <c r="H21" s="5"/>
      <c r="I21" s="6"/>
      <c r="J21" s="4"/>
      <c r="K21" s="5"/>
      <c r="L21" s="5"/>
      <c r="M21" s="5"/>
      <c r="N21" s="5"/>
      <c r="O21" s="5"/>
      <c r="P21" s="5"/>
      <c r="Q21" s="6"/>
    </row>
    <row r="22" spans="2:17" ht="14" x14ac:dyDescent="0.3">
      <c r="B22" s="4"/>
      <c r="C22" s="5"/>
      <c r="D22" s="5"/>
      <c r="E22" s="5"/>
      <c r="F22" s="5"/>
      <c r="G22" s="5"/>
      <c r="H22" s="5"/>
      <c r="I22" s="6"/>
      <c r="J22" s="4"/>
      <c r="K22" s="5"/>
      <c r="L22" s="5"/>
      <c r="M22" s="5"/>
      <c r="N22" s="5"/>
      <c r="O22" s="5"/>
      <c r="P22" s="5"/>
      <c r="Q22" s="6"/>
    </row>
    <row r="23" spans="2:17" ht="14" x14ac:dyDescent="0.3">
      <c r="B23" s="4"/>
      <c r="C23" s="5"/>
      <c r="D23" s="5"/>
      <c r="E23" s="5"/>
      <c r="F23" s="5"/>
      <c r="G23" s="5"/>
      <c r="H23" s="5"/>
      <c r="I23" s="6"/>
      <c r="J23" s="4"/>
      <c r="K23" s="5"/>
      <c r="L23" s="5"/>
      <c r="M23" s="5"/>
      <c r="N23" s="5"/>
      <c r="O23" s="5"/>
      <c r="P23" s="5"/>
      <c r="Q23" s="6"/>
    </row>
    <row r="24" spans="2:17" ht="12" thickBot="1" x14ac:dyDescent="0.3">
      <c r="B24" s="52"/>
      <c r="C24" s="44"/>
      <c r="D24" s="44"/>
      <c r="E24" s="44"/>
      <c r="F24" s="44"/>
      <c r="G24" s="44"/>
      <c r="H24" s="44"/>
      <c r="I24" s="45"/>
      <c r="J24" s="52"/>
      <c r="K24" s="44"/>
      <c r="L24" s="44"/>
      <c r="M24" s="44"/>
      <c r="N24" s="44"/>
      <c r="O24" s="44"/>
      <c r="P24" s="44"/>
      <c r="Q24" s="45"/>
    </row>
    <row r="25" spans="2:17" ht="15.75" customHeight="1" thickBot="1" x14ac:dyDescent="0.3">
      <c r="B25" s="182" t="s">
        <v>154</v>
      </c>
      <c r="C25" s="183"/>
      <c r="D25" s="183"/>
      <c r="E25" s="183"/>
      <c r="F25" s="183"/>
      <c r="G25" s="183"/>
      <c r="H25" s="183"/>
      <c r="I25" s="183"/>
      <c r="J25" s="183"/>
      <c r="K25" s="183"/>
      <c r="L25" s="183"/>
      <c r="M25" s="183"/>
      <c r="N25" s="183"/>
      <c r="O25" s="183"/>
      <c r="P25" s="183"/>
      <c r="Q25" s="184"/>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Q3"/>
    <mergeCell ref="B4:I4"/>
    <mergeCell ref="J4:Q4"/>
    <mergeCell ref="B25:Q25"/>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33ed6465-8d2f-4fab-bbbc-787e2c148707" value=""/>
</sisl>
</file>

<file path=customXml/itemProps1.xml><?xml version="1.0" encoding="utf-8"?>
<ds:datastoreItem xmlns:ds="http://schemas.openxmlformats.org/officeDocument/2006/customXml" ds:itemID="{87499789-5766-4037-9571-06F2534E2FF6}">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Summary</vt:lpstr>
      <vt:lpstr>The Mortgage Measures Framework</vt:lpstr>
      <vt:lpstr>New Lending Overview </vt:lpstr>
      <vt:lpstr>FTB Lending</vt:lpstr>
      <vt:lpstr>FTB LTV and LTI Distributions</vt:lpstr>
      <vt:lpstr>SSB Lending</vt:lpstr>
      <vt:lpstr>SSB LTV and LTI Distribution</vt:lpstr>
      <vt:lpstr>BTL Lending</vt:lpstr>
      <vt:lpstr>LTI Allowances</vt:lpstr>
      <vt:lpstr>Trend over time in LTV and LTI</vt:lpstr>
      <vt:lpstr>Allocation of Allowances Chart </vt:lpstr>
      <vt:lpstr>Summary!Print_Area</vt:lpstr>
    </vt:vector>
  </TitlesOfParts>
  <Company>Central Bank of Ireland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Kinghan, Christina</dc:creator>
  <cp:keywords>Public</cp:keywords>
  <cp:lastModifiedBy>McGuinness, Lucia</cp:lastModifiedBy>
  <cp:lastPrinted>2019-04-30T08:27:56Z</cp:lastPrinted>
  <dcterms:created xsi:type="dcterms:W3CDTF">2019-03-15T16:43:56Z</dcterms:created>
  <dcterms:modified xsi:type="dcterms:W3CDTF">2026-05-26T11:41:37Z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ebca1da4-b61c-4c9c-a4d3-d1942ba2a863</vt:lpwstr>
  </property>
  <property fmtid="{D5CDD505-2E9C-101B-9397-08002B2CF9AE}" pid="3" name="bjSaver">
    <vt:lpwstr>OrMeIvinxZtAeEVmIdCGMvkUevMCV6SW</vt:lpwstr>
  </property>
  <property fmtid="{D5CDD505-2E9C-101B-9397-08002B2CF9AE}" pid="4" name="_AdHocReviewCycleID">
    <vt:i4>-1043849235</vt:i4>
  </property>
  <property fmtid="{D5CDD505-2E9C-101B-9397-08002B2CF9AE}" pid="5" name="_NewReviewCycle">
    <vt:lpwstr/>
  </property>
  <property fmtid="{D5CDD505-2E9C-101B-9397-08002B2CF9AE}" pid="6" name="_EmailSubject">
    <vt:lpwstr>New Mortgage Lending data for upload to the website. </vt:lpwstr>
  </property>
  <property fmtid="{D5CDD505-2E9C-101B-9397-08002B2CF9AE}" pid="7" name="_AuthorEmail">
    <vt:lpwstr>Christina.Hennessy@centralbank.ie</vt:lpwstr>
  </property>
  <property fmtid="{D5CDD505-2E9C-101B-9397-08002B2CF9AE}" pid="8" name="_AuthorEmailDisplayName">
    <vt:lpwstr>Christina Hennessy</vt:lpwstr>
  </property>
  <property fmtid="{D5CDD505-2E9C-101B-9397-08002B2CF9AE}" pid="9" name="{A44787D4-0540-4523-9961-78E4036D8C6D}">
    <vt:lpwstr>{058DA443-86F1-41AF-B498-6B193D5213F0}</vt:lpwstr>
  </property>
  <property fmtid="{D5CDD505-2E9C-101B-9397-08002B2CF9AE}" pid="10" name="bjClsUserRVM">
    <vt:lpwstr>[]</vt:lpwstr>
  </property>
  <property fmtid="{D5CDD505-2E9C-101B-9397-08002B2CF9AE}" pid="11" name="_PreviousAdHocReviewCycleID">
    <vt:i4>722752089</vt:i4>
  </property>
  <property fmtid="{D5CDD505-2E9C-101B-9397-08002B2CF9AE}" pid="12" name="_ReviewingToolsShownOnce">
    <vt:lpwstr/>
  </property>
  <property fmtid="{D5CDD505-2E9C-101B-9397-08002B2CF9AE}" pid="13"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14" name="bjDocumentLabelXML-0">
    <vt:lpwstr>ames.com/2008/01/sie/internal/label"&gt;&lt;element uid="33ed6465-8d2f-4fab-bbbc-787e2c148707" value="" /&gt;&lt;/sisl&gt;</vt:lpwstr>
  </property>
  <property fmtid="{D5CDD505-2E9C-101B-9397-08002B2CF9AE}" pid="15" name="bjDocumentSecurityLabel">
    <vt:lpwstr>Public</vt:lpwstr>
  </property>
  <property fmtid="{D5CDD505-2E9C-101B-9397-08002B2CF9AE}" pid="16" name="bjpmDocIH">
    <vt:lpwstr>82JMvPUJog/v+lXOmW4rSy7vjcMEtevk</vt:lpwstr>
  </property>
  <property fmtid="{D5CDD505-2E9C-101B-9397-08002B2CF9AE}" pid="17" name="bjLeftHeaderLabel-first">
    <vt:lpwstr>&amp;"Times New Roman,Regular"&amp;12&amp;K000000Central Bank of Ireland - PUBLIC</vt:lpwstr>
  </property>
  <property fmtid="{D5CDD505-2E9C-101B-9397-08002B2CF9AE}" pid="18" name="bjLeftHeaderLabel-even">
    <vt:lpwstr>&amp;"Times New Roman,Regular"&amp;12&amp;K000000Central Bank of Ireland - PUBLIC</vt:lpwstr>
  </property>
  <property fmtid="{D5CDD505-2E9C-101B-9397-08002B2CF9AE}" pid="19" name="bjLeftHeaderLabel">
    <vt:lpwstr>&amp;"Times New Roman,Regular"&amp;12&amp;K000000Central Bank of Ireland - PUBLIC</vt:lpwstr>
  </property>
</Properties>
</file>